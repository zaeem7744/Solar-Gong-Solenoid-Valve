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HP i7\OneDrive\Desktop\Solar_Gong_Project\"/>
    </mc:Choice>
  </mc:AlternateContent>
  <bookViews>
    <workbookView xWindow="0" yWindow="0" windowWidth="7480" windowHeight="2810" tabRatio="683" activeTab="1"/>
  </bookViews>
  <sheets>
    <sheet name="Additional Project Information" sheetId="13" r:id="rId1"/>
    <sheet name="Solar Powered Automatic Gong" sheetId="8" r:id="rId2"/>
    <sheet name="Component List" sheetId="2" r:id="rId3"/>
  </sheets>
  <definedNames>
    <definedName name="_xlnm.Print_Area" localSheetId="0">'Additional Project Information'!$A$1:$F$2</definedName>
    <definedName name="_xlnm.Print_Area" localSheetId="1">'Solar Powered Automatic Gong'!$A$1:$F$89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2" i="2" l="1"/>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E69" i="8" l="1"/>
  <c r="F67" i="8"/>
  <c r="F66" i="8"/>
  <c r="F65" i="8"/>
  <c r="F59" i="8"/>
  <c r="F58" i="8"/>
  <c r="F57" i="8"/>
  <c r="F56" i="8"/>
  <c r="F55" i="8"/>
  <c r="F54" i="8"/>
  <c r="F53" i="8"/>
  <c r="F52" i="8"/>
  <c r="F60" i="8" l="1"/>
  <c r="B68" i="8" s="1"/>
  <c r="F68" i="8" s="1"/>
  <c r="F69" i="8"/>
</calcChain>
</file>

<file path=xl/sharedStrings.xml><?xml version="1.0" encoding="utf-8"?>
<sst xmlns="http://schemas.openxmlformats.org/spreadsheetml/2006/main" count="224" uniqueCount="176">
  <si>
    <t>Project Dashboard - Comprehensive Project Tracking System</t>
  </si>
  <si>
    <t>M. Zaeem | Electronics &amp; Embedded Systems Engineer | BSc Electrical Engineering | MSc Autonomous Systems</t>
  </si>
  <si>
    <t>1. Project Basic Information</t>
  </si>
  <si>
    <t>Project Name:</t>
  </si>
  <si>
    <t>Client Name:</t>
  </si>
  <si>
    <t>Start Date:</t>
  </si>
  <si>
    <t>Expected End Date:</t>
  </si>
  <si>
    <t>Pricing Model:</t>
  </si>
  <si>
    <t>Fixed Price</t>
  </si>
  <si>
    <t xml:space="preserve">Hourly Rate </t>
  </si>
  <si>
    <t>Hourly Rate Per Hour ($):</t>
  </si>
  <si>
    <t>Total Project Budget:</t>
  </si>
  <si>
    <t>Payment by Milestone:</t>
  </si>
  <si>
    <t>2. Project Requirements</t>
  </si>
  <si>
    <t xml:space="preserve">3. Project Milestones </t>
  </si>
  <si>
    <t>Milestone 1</t>
  </si>
  <si>
    <t>Task Requirements</t>
  </si>
  <si>
    <t>Description</t>
  </si>
  <si>
    <t>Status</t>
  </si>
  <si>
    <t>Milestone 2</t>
  </si>
  <si>
    <t>Milestone 3</t>
  </si>
  <si>
    <t>4. Key Deliverables</t>
  </si>
  <si>
    <t xml:space="preserve">Additional Requirements </t>
  </si>
  <si>
    <t xml:space="preserve"> Project End Goal and Approval Criteria</t>
  </si>
  <si>
    <t>Sensor Selection</t>
  </si>
  <si>
    <t>All hardware components functioning to specification
Software meets All requirements with no critical bugs
Client signs off on final deliverables</t>
  </si>
  <si>
    <t>Firmware Development</t>
  </si>
  <si>
    <t>Schematic Drawing</t>
  </si>
  <si>
    <t>PCB Layout</t>
  </si>
  <si>
    <t>Gerber Files</t>
  </si>
  <si>
    <t>Bill of Materials (BOM)</t>
  </si>
  <si>
    <t>PCB Fabrication Ordering</t>
  </si>
  <si>
    <t>PCB Assembly (soldering components)</t>
  </si>
  <si>
    <t>Board Testing</t>
  </si>
  <si>
    <t>3D Enclosure Design</t>
  </si>
  <si>
    <t>Task / Milestone</t>
  </si>
  <si>
    <t>Paid ($)</t>
  </si>
  <si>
    <t>Remaining ($)</t>
  </si>
  <si>
    <t>Total Amount:</t>
  </si>
  <si>
    <r>
      <t xml:space="preserve">Thank you for choosing to work with me. I truly appreciate your trust, and I’ll do my best to bring your idea to life with precision, dedication, and transparency. This spreadsheet has been created to provide a clear overview of project scope, progress, and costs, ensuring full visibility at every step.
</t>
    </r>
    <r>
      <rPr>
        <b/>
        <sz val="11"/>
        <color rgb="FF000000"/>
        <rFont val="Cambria"/>
        <family val="1"/>
        <scheme val="major"/>
      </rPr>
      <t xml:space="preserve">Please Note:
</t>
    </r>
    <r>
      <rPr>
        <sz val="11"/>
        <color rgb="FF000000"/>
        <rFont val="Cambria"/>
        <family val="1"/>
        <scheme val="major"/>
      </rPr>
      <t>The quotation provided does not include external expenses such as:
- Component sourcing (AliExpress, Digi-Key, etc.)
- PCB fabrication or assembly services (e.g., JLCPCB, PCBWay)
- Import duties, VAT, or customs clearance fees
- Packaging or shipping of prototypes
- Specialized tooling or any outsourced service costs
- These costs will be discussed and billed separately if required during the project.
Looking forward to building something great together  from concept to completion, I'm here as your technical partner.
Warm regards,
M. Zaeem
Electronics &amp; Embedded Systems Engineer</t>
    </r>
  </si>
  <si>
    <t>5. Additional Expenses :</t>
  </si>
  <si>
    <t>Item / Description</t>
  </si>
  <si>
    <t>Category</t>
  </si>
  <si>
    <t>Notes</t>
  </si>
  <si>
    <t>Cost per Unit ($)</t>
  </si>
  <si>
    <t>Units</t>
  </si>
  <si>
    <t>Total ($)</t>
  </si>
  <si>
    <t>PCB Fabrication (JLCPCB)</t>
  </si>
  <si>
    <t>Fabrication</t>
  </si>
  <si>
    <t>Customs VAT</t>
  </si>
  <si>
    <t>Customs/Tax</t>
  </si>
  <si>
    <t>Enclosure Printing</t>
  </si>
  <si>
    <t>Outsourcing</t>
  </si>
  <si>
    <t>PCB Assembly</t>
  </si>
  <si>
    <t>Assembly Service</t>
  </si>
  <si>
    <t>Components</t>
  </si>
  <si>
    <t>Components LCSC</t>
  </si>
  <si>
    <t>Unit Testing Labor</t>
  </si>
  <si>
    <t>Testing</t>
  </si>
  <si>
    <t>Delivery to Client</t>
  </si>
  <si>
    <t>Logistics</t>
  </si>
  <si>
    <t xml:space="preserve">Others </t>
  </si>
  <si>
    <t>Total Cost:</t>
  </si>
  <si>
    <t>Fixed Amount ($)</t>
  </si>
  <si>
    <t>Payment Date</t>
  </si>
  <si>
    <t>Additional Expenses</t>
  </si>
  <si>
    <t>Fixed Priced Milestone Payments</t>
  </si>
  <si>
    <t>6. Payment Section</t>
  </si>
  <si>
    <t>Component Name</t>
  </si>
  <si>
    <t>Description / Use</t>
  </si>
  <si>
    <t>Link to AliExpress / Source</t>
  </si>
  <si>
    <t>Quantity</t>
  </si>
  <si>
    <t>Unit Price ($)</t>
  </si>
  <si>
    <t>Total Price ($)</t>
  </si>
  <si>
    <t>AliExpress Link</t>
  </si>
  <si>
    <t>Sr. No</t>
  </si>
  <si>
    <t>Not shipped is red</t>
  </si>
  <si>
    <t>Shipped is yellow</t>
  </si>
  <si>
    <t>Arrived is green</t>
  </si>
  <si>
    <t>Pending</t>
  </si>
  <si>
    <t>Complete</t>
  </si>
  <si>
    <t>Solar-Powered Automated Gong with IoT Data Logging</t>
  </si>
  <si>
    <r>
      <rPr>
        <b/>
        <sz val="11"/>
        <rFont val="Cambria"/>
        <family val="1"/>
        <scheme val="major"/>
      </rPr>
      <t>Project Requirements</t>
    </r>
    <r>
      <rPr>
        <sz val="11"/>
        <rFont val="Cambria"/>
        <family val="1"/>
        <scheme val="major"/>
      </rPr>
      <t xml:space="preserve">
The project involves designing and building a self-sustaining, solar-powered system that automatically strikes a gong at high noon, triggered by a light sensor. The system must be future-proofed for a Phase 3 upgrade to include audio recording and cellular IoT data transmission.
</t>
    </r>
    <r>
      <rPr>
        <b/>
        <sz val="11"/>
        <rFont val="Cambria"/>
        <family val="1"/>
        <scheme val="major"/>
      </rPr>
      <t>Core Requirements (Phase 1):</t>
    </r>
    <r>
      <rPr>
        <sz val="11"/>
        <rFont val="Cambria"/>
        <family val="1"/>
        <scheme val="major"/>
      </rPr>
      <t xml:space="preserve">
Microcontroller: To be powered solely by solar energy. Must be capable of handling Phase 2 requirements (e.g., Raspberry Pi Pico, ESP32).
Actuation: A solenoid (or servo) controlled via a physical relay to strike the gong with a strong, audible sound.
Sensing: An LDR (Light Dependent Resistor) to detect high noon.
Power System: A complete off-grid power system including:
-Solar PV Panel
-Charge Controller
-Rechargeable Battery Pack (Li-ion recommended)
-Buck Converter to provide stable 5V/3.3V to the MCU and sensors.
Hardware Sourcing: Components must be sourced from reliable, non-Amazon suppliers (e.g., AliExpress,  for a target budget of under £200, prioritizing value for potential duplication.
</t>
    </r>
    <r>
      <rPr>
        <b/>
        <sz val="11"/>
        <rFont val="Cambria"/>
        <family val="1"/>
        <scheme val="major"/>
      </rPr>
      <t>Future-Proofing for Phase 2:</t>
    </r>
    <r>
      <rPr>
        <sz val="11"/>
        <rFont val="Cambria"/>
        <family val="1"/>
        <scheme val="major"/>
      </rPr>
      <t xml:space="preserve">
The hardware specification must accommodate the future addition of:
A microphone (Electric or MEMS, 1.5V-3.6V) to record the gong strike.
A Cellular IoT module with built-in GPS.
Increased energy storage and power management to handle the additional load.</t>
    </r>
  </si>
  <si>
    <t>Finalize System Architecture</t>
  </si>
  <si>
    <t xml:space="preserve">Finalising Components and Create Shopping List </t>
  </si>
  <si>
    <t xml:space="preserve">Hardware Assembly </t>
  </si>
  <si>
    <t xml:space="preserve">Firmware Development </t>
  </si>
  <si>
    <t>Real-World Unit Testing</t>
  </si>
  <si>
    <t>Voltage Sensor</t>
  </si>
  <si>
    <t>Cellular, WiFi, GPS, and Bluetooth connectivity</t>
  </si>
  <si>
    <t>Actuator to perform mechanical action (e.g., bell strike)</t>
  </si>
  <si>
    <t>Variant</t>
  </si>
  <si>
    <t>Project Junction Box for Electrical Cable Outdoor DIY Sealed IP67 Enclosure Wire Box</t>
  </si>
  <si>
    <t>230x150x85mm</t>
  </si>
  <si>
    <t>Smart Electronics DC 0-25V Standard Voltage Sensor Module Test Electronic Bricks Smart Robot for DIY</t>
  </si>
  <si>
    <t>10/50pcs Super Soft Silicone Jumper Wire 1Pin Dupont Cable 26AWG Male Female Solderless</t>
  </si>
  <si>
    <t>Black x 30pcs, Female to Female, 10 cm</t>
  </si>
  <si>
    <t>Yellow x 30pcs, Male to Male, 10 cm</t>
  </si>
  <si>
    <t>White x 30pcs, Female to Male, 10 cm</t>
  </si>
  <si>
    <t>5-50pcs 5V To 3.3V DC-DC Step Down Power Supply Buck Module AMS1117 800MA Automatic Adjustable Boost Board</t>
  </si>
  <si>
    <t>5pcs</t>
  </si>
  <si>
    <t>12mm 16mm 19mm 22mm metal push button on/off switch power LED light Waterproof Flat circular button</t>
  </si>
  <si>
    <t>Green-F, 16mm, 9-30V (12V), Latching Reset</t>
  </si>
  <si>
    <t>5v 12v 1 2 4 6 8 way relay module for Arduino</t>
  </si>
  <si>
    <t>5V, 1 channel relay</t>
  </si>
  <si>
    <t>WORX WX242 Mini Electrical Screwdriver Set Smart Cordless Electric Screw Driver</t>
  </si>
  <si>
    <t>WX242</t>
  </si>
  <si>
    <t>1PC 3-13mm Titanium Plated Hexagonal Handle Step Drill Multi Functional Pagoda Drill Irregular Drill Bit</t>
  </si>
  <si>
    <t>1PC 3-13mm, Hexagon handle</t>
  </si>
  <si>
    <t>1pcs white/black ABS plastic plate model sheet DIY model material parts</t>
  </si>
  <si>
    <t>1.5x200x200mm, White</t>
  </si>
  <si>
    <t>Black Heat Shrink Tube Kit Thermoresistant Tubing</t>
  </si>
  <si>
    <t>127Pcs-dag, CHINA, 3.2mm</t>
  </si>
  <si>
    <t>Super Glue All-Purpose Liquid 20g</t>
  </si>
  <si>
    <t>20ML</t>
  </si>
  <si>
    <t>1-10pcs Photosensitive brightness resistance sensor module Light intensity detect</t>
  </si>
  <si>
    <t>2pcs</t>
  </si>
  <si>
    <t>5PCS 5.2x8.9cm Standard Permanent Breadboard Solder PCB Board</t>
  </si>
  <si>
    <t>5pcs PCB</t>
  </si>
  <si>
    <t>10Amp 12 Volt MPPT Solar Charge Controller, Bateria Power Intelligent Portable Solar Panel Controller</t>
  </si>
  <si>
    <t>10A, 12V</t>
  </si>
  <si>
    <t>Original Raspberry Pi Pico W with Wireless WiFi Development Board</t>
  </si>
  <si>
    <t>RP2040 TYPE-C</t>
  </si>
  <si>
    <t>MH-ET LIVE Omnidirectional Microphone Module I2S Interface INMP441 MEMS</t>
  </si>
  <si>
    <t>A no welding</t>
  </si>
  <si>
    <t>LILYGO® T-SIM A7608E-H A7608SA-H ESP32 LTE Cat 4 High Speed 4G Network GPS Antenna</t>
  </si>
  <si>
    <t>A7608E-H ESP32, With GPS</t>
  </si>
  <si>
    <t>Ultra-Small Size DC-DC Step Down Power Supply Module MP1584EN 3A Adjustable Buck Converter</t>
  </si>
  <si>
    <t>5PCS</t>
  </si>
  <si>
    <t>Glass Solar Panel 50W 100W 25 Years Service Life 25MM Thickness Aluminum Frame Cell</t>
  </si>
  <si>
    <t>19.8V 50W, CZECH REPUBLIC</t>
  </si>
  <si>
    <t>12V 6Ah 8Ah 12Ah 18Ah 24Ah Rechargeable LiFePO4 Battery Pack Build-in BMS</t>
  </si>
  <si>
    <t>12.8V 6Ah, CHINA</t>
  </si>
  <si>
    <t>DC12V 24V Through Push Pull Small DC Electromagnet</t>
  </si>
  <si>
    <t>1264B, 12V</t>
  </si>
  <si>
    <t>Waterproof enclosure for electrical/electronic projects, outdoor use</t>
  </si>
  <si>
    <t>Measures voltage for Arduino/DIY electronics projects</t>
  </si>
  <si>
    <t>AMS1117 800MA Adjustable module for stepping down voltage</t>
  </si>
  <si>
    <t>Waterproof flat circular button with LED indicator</t>
  </si>
  <si>
    <t>Optocoupler relay module for controlling high voltage devices</t>
  </si>
  <si>
    <t>Multi-functional pagoda drill bit for metals and plastics</t>
  </si>
  <si>
    <t>DIY modeling material for electronics/mechanical projects</t>
  </si>
  <si>
    <t>Insulation tubing for wire connections, thermoresistant</t>
  </si>
  <si>
    <t>Fast-drying adhesive for metal, plastic, wood, ceramic, glass</t>
  </si>
  <si>
    <t>LDR sensor module to detect light intensity for Arduino</t>
  </si>
  <si>
    <t>Prototype board for soldering electronics circuits</t>
  </si>
  <si>
    <t>MPPT controller for 12V solar panels, high efficiency, protects battery</t>
  </si>
  <si>
    <t>Microcontroller board with WiFi, supports MicroPython/C++</t>
  </si>
  <si>
    <t>I2S MEMS microphone for ESP32, low power, compact size</t>
  </si>
  <si>
    <t>MP1584EN Adjustable buck converter for Arduino, replaces LM2596</t>
  </si>
  <si>
    <t>Flexible, solderless wiring for DIY connections</t>
  </si>
  <si>
    <t xml:space="preserve">Mini Smart cordless Drill </t>
  </si>
  <si>
    <t>Electronic switch control board, pulse triggered switch module, DC controlled MOSFET</t>
  </si>
  <si>
    <t>1 pcs</t>
  </si>
  <si>
    <t>PWM electronic switch for DIY motor or actuator control</t>
  </si>
  <si>
    <t xml:space="preserve">Store solar energy for system operation </t>
  </si>
  <si>
    <t>Rigid temperedHarvest sunlight to charge LiFePO4 battery</t>
  </si>
  <si>
    <t>Battery Capacity Meter Indicator</t>
  </si>
  <si>
    <t>White</t>
  </si>
  <si>
    <t>Displays Battery Voltages</t>
  </si>
  <si>
    <t>5pcs 1.5-4.0mm</t>
  </si>
  <si>
    <t>Drill Bits For Holes and Enclosure Modifications</t>
  </si>
  <si>
    <t xml:space="preserve"> VEML7700 Ambient Light Sensor Module</t>
  </si>
  <si>
    <t>VEML7700</t>
  </si>
  <si>
    <t xml:space="preserve">Light Sensor with I2C Protocol </t>
  </si>
  <si>
    <t xml:space="preserve"> Hexagonal Handle Twist Drill Bits</t>
  </si>
  <si>
    <t>1pc</t>
  </si>
  <si>
    <t xml:space="preserve"> 1PCS Male Female Connector Plug With 16/18AWG Silicon Wire</t>
  </si>
  <si>
    <t>Battery Connector Wire Terminal</t>
  </si>
  <si>
    <t xml:space="preserve">Aproximate Bill of Materials = </t>
  </si>
  <si>
    <t>PD65W Charging Module</t>
  </si>
  <si>
    <t>Standard</t>
  </si>
  <si>
    <t xml:space="preserve">Charging Module </t>
  </si>
  <si>
    <t>Additional Project Information</t>
  </si>
  <si>
    <t>Hierro Rebby</t>
  </si>
  <si>
    <t xml:space="preserve">Hi, thank you for your patience.
I’ve finalized the detailed project plan with milestones and the component list. It took me time because I wanted to carefully research and select the right components that will work for the entire project. This way, we won’t need to make changes later.
The listed components will be used from milestone one through to the final product. The list covers one complete unit. Some key parts, like the microcontroller, are included in extra quantities to support future adjustments. I also tried to keep the costs as low as possible, but since we are ordering two units, the total may be slightly higher than expected. The main cost drivers are the MPPT solar charger, battery, and solar system. I chose reliable parts instead of cheaper but less dependable options.
If you’d like, I can place the order on your behalf. I already have everything ready. I also created a bill of materials for documentation.
I want to clarify something about pricing. The original quote was only for assembling the circuit on a breadboard or a simple PCB with basic connections. If you want a more complete and professional build—ready to install inside a waterproof enclosure with proper wiring, battery level display, power button, and an LDR for automation—that requires additional work.
For this, I will charge $15/hour. Completing these enhancements will take around two days, so about $150 total. This includes:
-Full enclosure assembly with waterproofing
-Battery level indicator on the outside of the box
-Power switch integration
-LDR sensor for light-based control
-Deep sleep mode for power optimization
-Testing in real conditions (battery lifespan, charging efficiency, etc.)
If you prefer, I can also deliver the raw version as originally planned (breadboard assembly, no enclosure, no extra features). The choice is yours, and I’m fine with either approach.
For the next milestone (IoT integration), we can discuss details once this stage is complete. If you approve the customization, I’ll proceed with the detailed build. Otherwise, I’ll stick to the base plan. In both cases, the base milestone one price on Fiverr stays the same.
Any additional work in the future will also be charged at $15/hour, but nothing beyond that.
Thank you again. I’m confident you’ll be happy with the results.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</si>
</sst>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9" formatCode="#,##0.00\ [$€-1]"/>
  </numFmts>
  <fonts count="23" x14ac:knownFonts="1">
    <font>
      <sz val="11"/>
      <color theme="1"/>
      <name val="Calibri"/>
      <family val="2"/>
      <scheme val="minor"/>
    </font>
    <font>
      <sz val="11"/>
      <color theme="1"/>
      <name val="Cambria"/>
      <family val="1"/>
    </font>
    <font>
      <i/>
      <sz val="11"/>
      <color rgb="FF7F8C8D"/>
      <name val="Cambria"/>
      <family val="1"/>
      <scheme val="major"/>
    </font>
    <font>
      <b/>
      <sz val="11"/>
      <name val="Cambria"/>
      <family val="1"/>
      <scheme val="major"/>
    </font>
    <font>
      <sz val="11"/>
      <name val="Cambria"/>
      <family val="1"/>
      <scheme val="major"/>
    </font>
    <font>
      <b/>
      <sz val="11"/>
      <color theme="1"/>
      <name val="Cambria"/>
      <family val="1"/>
      <scheme val="major"/>
    </font>
    <font>
      <sz val="11"/>
      <color theme="1"/>
      <name val="Cambria"/>
      <family val="1"/>
      <scheme val="major"/>
    </font>
    <font>
      <b/>
      <sz val="11"/>
      <color rgb="FF000000"/>
      <name val="Cambria"/>
      <family val="1"/>
      <scheme val="major"/>
    </font>
    <font>
      <b/>
      <sz val="11"/>
      <color rgb="FF1D4ED8"/>
      <name val="Cambria"/>
      <family val="1"/>
      <scheme val="major"/>
    </font>
    <font>
      <b/>
      <sz val="11"/>
      <color theme="0"/>
      <name val="Cambria"/>
      <family val="1"/>
      <scheme val="major"/>
    </font>
    <font>
      <sz val="11"/>
      <color theme="0"/>
      <name val="Cambria"/>
      <family val="1"/>
      <scheme val="major"/>
    </font>
    <font>
      <sz val="11"/>
      <color rgb="FF000000"/>
      <name val="Cambria"/>
      <family val="1"/>
      <scheme val="major"/>
    </font>
    <font>
      <b/>
      <sz val="12"/>
      <color rgb="FFFFFFFF"/>
      <name val="Cambria"/>
      <family val="1"/>
      <scheme val="major"/>
    </font>
    <font>
      <sz val="11"/>
      <color rgb="FF1D4ED8"/>
      <name val="Cambria"/>
      <family val="1"/>
      <scheme val="major"/>
    </font>
    <font>
      <b/>
      <sz val="11"/>
      <color rgb="FFFFFFFF"/>
      <name val="Cambria"/>
      <family val="1"/>
      <scheme val="major"/>
    </font>
    <font>
      <b/>
      <sz val="11"/>
      <color rgb="FF2C3E50"/>
      <name val="Cambria"/>
      <family val="1"/>
      <scheme val="major"/>
    </font>
    <font>
      <b/>
      <sz val="11"/>
      <color theme="1"/>
      <name val="Calibri"/>
      <family val="2"/>
      <scheme val="minor"/>
    </font>
    <font>
      <u/>
      <sz val="11"/>
      <color theme="10"/>
      <name val="Calibri"/>
      <family val="2"/>
      <scheme val="minor"/>
    </font>
    <font>
      <b/>
      <sz val="11"/>
      <color rgb="FF7030A0"/>
      <name val="Cambria"/>
      <family val="1"/>
      <scheme val="major"/>
    </font>
    <font>
      <sz val="10"/>
      <color theme="1"/>
      <name val="Arial"/>
      <family val="2"/>
    </font>
    <font>
      <sz val="11"/>
      <color rgb="FF000000"/>
      <name val="Calibri"/>
      <family val="2"/>
      <scheme val="minor"/>
    </font>
    <font>
      <sz val="11"/>
      <color theme="7"/>
      <name val="Calibri"/>
      <family val="2"/>
      <scheme val="minor"/>
    </font>
    <font>
      <b/>
      <sz val="16"/>
      <name val="Calibri"/>
      <family val="2"/>
      <scheme val="minor"/>
    </font>
  </fonts>
  <fills count="8">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theme="7"/>
        <bgColor indexed="64"/>
      </patternFill>
    </fill>
    <fill>
      <patternFill patternType="solid">
        <fgColor rgb="FF34A853"/>
        <bgColor indexed="64"/>
      </patternFill>
    </fill>
    <fill>
      <patternFill patternType="solid">
        <fgColor theme="7" tint="0.79998168889431442"/>
        <bgColor indexed="64"/>
      </patternFill>
    </fill>
  </fills>
  <borders count="4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top style="medium">
        <color rgb="FF000000"/>
      </top>
      <bottom/>
      <diagonal/>
    </border>
    <border>
      <left/>
      <right/>
      <top style="medium">
        <color rgb="FF000000"/>
      </top>
      <bottom/>
      <diagonal/>
    </border>
    <border>
      <left/>
      <right/>
      <top/>
      <bottom style="medium">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bottom/>
      <diagonal/>
    </border>
    <border>
      <left/>
      <right style="thin">
        <color indexed="64"/>
      </right>
      <top/>
      <bottom/>
      <diagonal/>
    </border>
    <border>
      <left/>
      <right style="thin">
        <color indexed="64"/>
      </right>
      <top style="thin">
        <color rgb="FF000000"/>
      </top>
      <bottom/>
      <diagonal/>
    </border>
    <border>
      <left style="thin">
        <color indexed="64"/>
      </left>
      <right/>
      <top style="thin">
        <color rgb="FF000000"/>
      </top>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top style="thin">
        <color rgb="FF000000"/>
      </top>
      <bottom style="thin">
        <color rgb="FF000000"/>
      </bottom>
      <diagonal/>
    </border>
    <border>
      <left style="thin">
        <color rgb="FF000000"/>
      </left>
      <right style="thin">
        <color indexed="64"/>
      </right>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medium">
        <color rgb="FF000000"/>
      </top>
      <bottom/>
      <diagonal/>
    </border>
    <border>
      <left/>
      <right style="thin">
        <color indexed="64"/>
      </right>
      <top style="medium">
        <color rgb="FF000000"/>
      </top>
      <bottom/>
      <diagonal/>
    </border>
    <border>
      <left style="thin">
        <color indexed="64"/>
      </left>
      <right/>
      <top/>
      <bottom style="medium">
        <color rgb="FF000000"/>
      </bottom>
      <diagonal/>
    </border>
    <border>
      <left/>
      <right style="thin">
        <color indexed="64"/>
      </right>
      <top/>
      <bottom style="medium">
        <color rgb="FF000000"/>
      </bottom>
      <diagonal/>
    </border>
    <border>
      <left style="thin">
        <color indexed="64"/>
      </left>
      <right style="thin">
        <color rgb="FF000000"/>
      </right>
      <top/>
      <bottom style="thin">
        <color rgb="FF000000"/>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bottom/>
      <diagonal/>
    </border>
  </borders>
  <cellStyleXfs count="2">
    <xf numFmtId="0" fontId="0" fillId="0" borderId="0"/>
    <xf numFmtId="0" fontId="17" fillId="0" borderId="0" applyNumberFormat="0" applyFill="0" applyBorder="0" applyAlignment="0" applyProtection="0"/>
  </cellStyleXfs>
  <cellXfs count="203">
    <xf numFmtId="0" fontId="0" fillId="0" borderId="0" xfId="0"/>
    <xf numFmtId="0" fontId="1" fillId="0" borderId="0" xfId="0" applyFont="1" applyBorder="1"/>
    <xf numFmtId="0" fontId="1" fillId="0" borderId="0" xfId="0" applyFont="1" applyFill="1" applyBorder="1"/>
    <xf numFmtId="0" fontId="1" fillId="0" borderId="0" xfId="0" applyFont="1" applyBorder="1" applyAlignment="1"/>
    <xf numFmtId="0" fontId="1" fillId="2" borderId="0" xfId="0" applyFont="1" applyFill="1" applyBorder="1"/>
    <xf numFmtId="0" fontId="1" fillId="0" borderId="0" xfId="0" applyFont="1" applyBorder="1" applyAlignment="1">
      <alignment vertical="center"/>
    </xf>
    <xf numFmtId="0" fontId="6" fillId="0" borderId="0" xfId="0" applyFont="1" applyBorder="1" applyAlignment="1">
      <alignment horizontal="left" vertical="center"/>
      <extLst>
        <ext xmlns:xfpb="http://schemas.microsoft.com/office/spreadsheetml/2022/featurepropertybag" uri="{C7286773-470A-42A8-94C5-96B5CB345126}">
          <xfpb:xfComplement i="0"/>
        </ext>
      </extLst>
    </xf>
    <xf numFmtId="0" fontId="3" fillId="0" borderId="7" xfId="0" applyFont="1" applyFill="1" applyBorder="1" applyAlignment="1">
      <alignment vertical="center"/>
    </xf>
    <xf numFmtId="0" fontId="5" fillId="0" borderId="0" xfId="0" applyFont="1" applyBorder="1" applyAlignment="1">
      <alignment horizontal="left" vertical="center"/>
    </xf>
    <xf numFmtId="0" fontId="5" fillId="0" borderId="0" xfId="0" applyFont="1" applyBorder="1" applyAlignment="1">
      <alignment horizontal="left" vertical="center"/>
      <extLst>
        <ext xmlns:xfpb="http://schemas.microsoft.com/office/spreadsheetml/2022/featurepropertybag" uri="{C7286773-470A-42A8-94C5-96B5CB345126}">
          <xfpb:xfComplement i="0"/>
        </ext>
      </extLst>
    </xf>
    <xf numFmtId="0" fontId="5" fillId="0" borderId="7" xfId="0" applyFont="1" applyBorder="1" applyAlignment="1">
      <alignment vertical="center"/>
    </xf>
    <xf numFmtId="0" fontId="5" fillId="0" borderId="7" xfId="0" applyFont="1" applyBorder="1" applyAlignment="1">
      <alignment horizontal="center" vertical="center"/>
    </xf>
    <xf numFmtId="0" fontId="6" fillId="0" borderId="7" xfId="0" applyFont="1" applyBorder="1" applyAlignment="1">
      <alignment vertical="center"/>
    </xf>
    <xf numFmtId="164" fontId="6" fillId="0" borderId="7" xfId="0" applyNumberFormat="1" applyFont="1" applyBorder="1" applyAlignment="1">
      <alignment horizontal="center" vertical="center"/>
    </xf>
    <xf numFmtId="0" fontId="6" fillId="0" borderId="6" xfId="0" applyFont="1" applyBorder="1" applyAlignment="1">
      <alignment vertical="center"/>
    </xf>
    <xf numFmtId="0" fontId="6" fillId="0" borderId="10" xfId="0" applyFont="1" applyBorder="1" applyAlignment="1">
      <alignment vertical="center"/>
    </xf>
    <xf numFmtId="0" fontId="7" fillId="0" borderId="7" xfId="0" applyFont="1" applyBorder="1" applyAlignment="1">
      <alignment horizontal="center" vertical="center"/>
    </xf>
    <xf numFmtId="0" fontId="3" fillId="0" borderId="0" xfId="0" applyFont="1" applyBorder="1" applyAlignment="1">
      <alignment vertical="center"/>
    </xf>
    <xf numFmtId="0" fontId="6" fillId="0" borderId="0" xfId="0" applyFont="1" applyBorder="1" applyAlignment="1">
      <alignment horizontal="left" vertical="center"/>
    </xf>
    <xf numFmtId="0" fontId="5" fillId="2" borderId="7" xfId="0" applyFont="1" applyFill="1" applyBorder="1" applyAlignment="1">
      <alignment horizontal="center" vertical="center" wrapText="1"/>
    </xf>
    <xf numFmtId="0" fontId="7" fillId="0" borderId="7" xfId="0" applyFont="1" applyBorder="1" applyAlignment="1">
      <alignment vertical="center"/>
    </xf>
    <xf numFmtId="0" fontId="4" fillId="0" borderId="28" xfId="0" applyFont="1" applyBorder="1" applyAlignment="1">
      <alignment vertical="center"/>
    </xf>
    <xf numFmtId="0" fontId="3" fillId="0" borderId="20" xfId="0" applyFont="1" applyBorder="1" applyAlignment="1">
      <alignment vertical="center"/>
    </xf>
    <xf numFmtId="164" fontId="4" fillId="0" borderId="21" xfId="0" applyNumberFormat="1" applyFont="1" applyBorder="1" applyAlignment="1">
      <alignment horizontal="center" vertical="center"/>
    </xf>
    <xf numFmtId="0" fontId="6" fillId="0" borderId="21" xfId="0" applyFont="1" applyBorder="1" applyAlignment="1">
      <alignment horizontal="left" vertical="center"/>
    </xf>
    <xf numFmtId="0" fontId="5" fillId="2" borderId="27" xfId="0" applyFont="1" applyFill="1" applyBorder="1" applyAlignment="1">
      <alignment horizontal="left" vertical="center"/>
    </xf>
    <xf numFmtId="0" fontId="6" fillId="0" borderId="29" xfId="0" applyFont="1" applyBorder="1" applyAlignment="1">
      <alignment horizontal="left" vertical="center"/>
    </xf>
    <xf numFmtId="0" fontId="6" fillId="0" borderId="27" xfId="0" applyFont="1" applyBorder="1" applyAlignment="1">
      <alignment horizontal="left" vertical="center"/>
    </xf>
    <xf numFmtId="0" fontId="5" fillId="0" borderId="26" xfId="0" applyFont="1" applyBorder="1" applyAlignment="1">
      <alignment vertical="center" wrapText="1"/>
    </xf>
    <xf numFmtId="0" fontId="6" fillId="0" borderId="26" xfId="0" applyFont="1" applyBorder="1" applyAlignment="1">
      <alignment vertical="center" wrapText="1"/>
    </xf>
    <xf numFmtId="0" fontId="6" fillId="0" borderId="26" xfId="0" applyFont="1" applyBorder="1" applyAlignment="1">
      <alignment vertical="center"/>
    </xf>
    <xf numFmtId="0" fontId="6" fillId="0" borderId="35" xfId="0" applyFont="1" applyBorder="1" applyAlignment="1">
      <alignment vertical="center" wrapText="1"/>
    </xf>
    <xf numFmtId="0" fontId="5" fillId="0" borderId="26" xfId="0" applyFont="1" applyBorder="1" applyAlignment="1">
      <alignment horizontal="left" vertical="center"/>
    </xf>
    <xf numFmtId="0" fontId="7" fillId="0" borderId="27" xfId="0" applyFont="1" applyBorder="1" applyAlignment="1">
      <alignment horizontal="center" vertical="center"/>
    </xf>
    <xf numFmtId="0" fontId="4" fillId="0" borderId="7" xfId="0" applyFont="1" applyBorder="1" applyAlignment="1">
      <alignment horizontal="center" vertical="center"/>
      <extLst>
        <ext xmlns:xfpb="http://schemas.microsoft.com/office/spreadsheetml/2022/featurepropertybag" uri="{C7286773-470A-42A8-94C5-96B5CB345126}">
          <xfpb:xfComplement i="0"/>
        </ext>
      </extLst>
    </xf>
    <xf numFmtId="0" fontId="17" fillId="0" borderId="40" xfId="1" applyBorder="1" applyAlignment="1">
      <alignment vertical="center"/>
    </xf>
    <xf numFmtId="0" fontId="16" fillId="0" borderId="0" xfId="0" applyFont="1" applyBorder="1" applyAlignment="1">
      <alignment horizontal="center" vertical="center"/>
    </xf>
    <xf numFmtId="0" fontId="0" fillId="0" borderId="0" xfId="0" applyBorder="1" applyAlignment="1"/>
    <xf numFmtId="0" fontId="0" fillId="0" borderId="0" xfId="0" applyBorder="1"/>
    <xf numFmtId="0" fontId="0" fillId="0" borderId="0" xfId="0" applyBorder="1" applyAlignment="1">
      <alignment vertical="center"/>
    </xf>
    <xf numFmtId="0" fontId="9" fillId="5" borderId="31" xfId="0" applyFont="1" applyFill="1" applyBorder="1" applyAlignment="1">
      <alignment horizontal="left" vertical="center"/>
    </xf>
    <xf numFmtId="0" fontId="6" fillId="5" borderId="10" xfId="0" applyFont="1" applyFill="1" applyBorder="1" applyAlignment="1">
      <alignment horizontal="center" vertical="center" wrapText="1"/>
    </xf>
    <xf numFmtId="0" fontId="6" fillId="5" borderId="27" xfId="0" applyFont="1" applyFill="1" applyBorder="1" applyAlignment="1">
      <alignment vertical="center"/>
    </xf>
    <xf numFmtId="0" fontId="8" fillId="5" borderId="28" xfId="0" applyFont="1" applyFill="1" applyBorder="1" applyAlignment="1">
      <alignment horizontal="center" vertical="center"/>
    </xf>
    <xf numFmtId="0" fontId="9" fillId="5" borderId="7" xfId="0" applyFont="1" applyFill="1" applyBorder="1" applyAlignment="1">
      <alignment vertical="center" wrapText="1"/>
    </xf>
    <xf numFmtId="0" fontId="10" fillId="5" borderId="3" xfId="0" applyFont="1" applyFill="1" applyBorder="1" applyAlignment="1">
      <alignment horizontal="left" vertical="center"/>
    </xf>
    <xf numFmtId="0" fontId="14" fillId="5" borderId="23" xfId="0" applyFont="1" applyFill="1" applyBorder="1" applyAlignment="1">
      <alignment horizontal="left" vertical="center"/>
    </xf>
    <xf numFmtId="0" fontId="10" fillId="5" borderId="22" xfId="0" applyFont="1" applyFill="1" applyBorder="1" applyAlignment="1">
      <alignment horizontal="left" vertical="center"/>
    </xf>
    <xf numFmtId="49" fontId="8" fillId="5" borderId="10" xfId="0" applyNumberFormat="1" applyFont="1" applyFill="1" applyBorder="1" applyAlignment="1">
      <alignment vertical="center"/>
    </xf>
    <xf numFmtId="0" fontId="8" fillId="5" borderId="6" xfId="0" applyFont="1" applyFill="1" applyBorder="1" applyAlignment="1">
      <alignment vertical="center"/>
    </xf>
    <xf numFmtId="0" fontId="13" fillId="5" borderId="35" xfId="0" applyFont="1" applyFill="1" applyBorder="1" applyAlignment="1">
      <alignment vertical="center"/>
    </xf>
    <xf numFmtId="164" fontId="9" fillId="5" borderId="4" xfId="0" applyNumberFormat="1" applyFont="1" applyFill="1" applyBorder="1" applyAlignment="1">
      <alignment vertical="center"/>
    </xf>
    <xf numFmtId="164" fontId="9" fillId="5" borderId="38" xfId="0" applyNumberFormat="1" applyFont="1" applyFill="1" applyBorder="1" applyAlignment="1">
      <alignment vertical="center"/>
    </xf>
    <xf numFmtId="49" fontId="9" fillId="5" borderId="37" xfId="0" applyNumberFormat="1" applyFont="1" applyFill="1" applyBorder="1" applyAlignment="1">
      <alignment vertical="center"/>
    </xf>
    <xf numFmtId="0" fontId="9" fillId="5" borderId="37" xfId="0" applyFont="1" applyFill="1" applyBorder="1" applyAlignment="1">
      <alignment vertical="center"/>
    </xf>
    <xf numFmtId="0" fontId="9" fillId="5" borderId="36" xfId="0" applyFont="1" applyFill="1" applyBorder="1" applyAlignment="1">
      <alignment vertical="center"/>
    </xf>
    <xf numFmtId="0" fontId="6" fillId="0" borderId="7" xfId="0" applyFont="1" applyFill="1" applyBorder="1" applyAlignment="1">
      <alignment vertical="center"/>
    </xf>
    <xf numFmtId="164" fontId="6" fillId="0" borderId="27" xfId="0" applyNumberFormat="1" applyFont="1" applyBorder="1" applyAlignment="1">
      <alignment horizontal="left" vertical="center"/>
    </xf>
    <xf numFmtId="164" fontId="6" fillId="0" borderId="7" xfId="0" applyNumberFormat="1" applyFont="1" applyBorder="1" applyAlignment="1">
      <alignment horizontal="left" vertical="center"/>
    </xf>
    <xf numFmtId="164" fontId="9" fillId="5" borderId="37" xfId="0" applyNumberFormat="1" applyFont="1" applyFill="1" applyBorder="1" applyAlignment="1">
      <alignment horizontal="left" vertical="center"/>
    </xf>
    <xf numFmtId="164" fontId="9" fillId="5" borderId="39" xfId="0" applyNumberFormat="1" applyFont="1" applyFill="1" applyBorder="1" applyAlignment="1">
      <alignment horizontal="left" vertical="center"/>
    </xf>
    <xf numFmtId="0" fontId="5" fillId="0" borderId="7" xfId="0" applyFont="1" applyBorder="1" applyAlignment="1">
      <alignment horizontal="left" vertical="center"/>
    </xf>
    <xf numFmtId="0" fontId="5" fillId="0" borderId="2" xfId="0" applyFont="1" applyBorder="1" applyAlignment="1">
      <alignment horizontal="left" vertical="center"/>
    </xf>
    <xf numFmtId="0" fontId="5" fillId="0" borderId="27" xfId="0" applyFont="1" applyBorder="1" applyAlignment="1">
      <alignment horizontal="left" vertical="center"/>
    </xf>
    <xf numFmtId="0" fontId="6" fillId="0" borderId="2" xfId="0" applyFont="1" applyBorder="1" applyAlignment="1">
      <alignment horizontal="left" vertical="center"/>
    </xf>
    <xf numFmtId="164" fontId="6" fillId="0" borderId="4" xfId="0" applyNumberFormat="1" applyFont="1" applyBorder="1" applyAlignment="1">
      <alignment horizontal="left" vertical="center"/>
    </xf>
    <xf numFmtId="0" fontId="9" fillId="5" borderId="7" xfId="0" applyFont="1" applyFill="1" applyBorder="1" applyAlignment="1">
      <alignment horizontal="left" vertical="center"/>
    </xf>
    <xf numFmtId="164" fontId="9" fillId="5" borderId="30" xfId="0" applyNumberFormat="1" applyFont="1" applyFill="1" applyBorder="1" applyAlignment="1">
      <alignment horizontal="left" vertical="center"/>
    </xf>
    <xf numFmtId="0" fontId="19" fillId="3" borderId="41" xfId="0" applyFont="1" applyFill="1" applyBorder="1" applyAlignment="1">
      <alignment wrapText="1"/>
    </xf>
    <xf numFmtId="0" fontId="19" fillId="4" borderId="41" xfId="0" applyFont="1" applyFill="1" applyBorder="1" applyAlignment="1">
      <alignment wrapText="1"/>
    </xf>
    <xf numFmtId="0" fontId="19" fillId="6" borderId="41" xfId="0" applyFont="1" applyFill="1" applyBorder="1" applyAlignment="1">
      <alignment wrapText="1"/>
    </xf>
    <xf numFmtId="0" fontId="3" fillId="0" borderId="1" xfId="0" applyFont="1" applyFill="1" applyBorder="1" applyAlignment="1">
      <alignment vertical="center"/>
    </xf>
    <xf numFmtId="0" fontId="4" fillId="0" borderId="1" xfId="0" applyFont="1" applyBorder="1" applyAlignment="1">
      <alignment vertical="center"/>
    </xf>
    <xf numFmtId="0" fontId="9" fillId="5" borderId="3" xfId="0" applyFont="1" applyFill="1" applyBorder="1" applyAlignment="1">
      <alignment horizontal="left" vertical="center"/>
    </xf>
    <xf numFmtId="0" fontId="4" fillId="0" borderId="7" xfId="0" applyFont="1" applyBorder="1" applyAlignment="1">
      <alignment vertical="center"/>
    </xf>
    <xf numFmtId="0" fontId="9" fillId="5" borderId="28" xfId="0" applyFont="1" applyFill="1" applyBorder="1" applyAlignment="1">
      <alignment horizontal="left" vertical="center"/>
    </xf>
    <xf numFmtId="0" fontId="0" fillId="0" borderId="40" xfId="0" applyBorder="1" applyAlignment="1">
      <alignment vertical="center" wrapText="1"/>
    </xf>
    <xf numFmtId="0" fontId="17" fillId="0" borderId="40" xfId="1" applyFont="1" applyBorder="1" applyAlignment="1">
      <alignment vertical="center"/>
    </xf>
    <xf numFmtId="0" fontId="0" fillId="0" borderId="0" xfId="0" applyAlignment="1">
      <alignment vertical="center" wrapText="1"/>
    </xf>
    <xf numFmtId="0" fontId="16" fillId="0" borderId="0" xfId="0" applyFont="1" applyAlignment="1">
      <alignment horizontal="center" vertical="center" wrapText="1"/>
    </xf>
    <xf numFmtId="0" fontId="16" fillId="0" borderId="42" xfId="0" applyFont="1" applyBorder="1" applyAlignment="1">
      <alignment horizontal="left" vertical="center"/>
    </xf>
    <xf numFmtId="0" fontId="0" fillId="0" borderId="40" xfId="0" applyFont="1" applyBorder="1" applyAlignment="1">
      <alignment horizontal="left" vertical="top" wrapText="1"/>
    </xf>
    <xf numFmtId="0" fontId="17" fillId="0" borderId="0" xfId="1"/>
    <xf numFmtId="0" fontId="17" fillId="0" borderId="40" xfId="1" applyFill="1" applyBorder="1" applyAlignment="1">
      <alignment vertical="center"/>
    </xf>
    <xf numFmtId="0" fontId="0" fillId="0" borderId="0" xfId="0" applyFill="1" applyBorder="1"/>
    <xf numFmtId="164" fontId="0" fillId="0" borderId="0" xfId="0" applyNumberFormat="1" applyBorder="1"/>
    <xf numFmtId="0" fontId="9" fillId="5" borderId="23" xfId="0" applyFont="1" applyFill="1" applyBorder="1" applyAlignment="1">
      <alignment vertical="center" wrapText="1"/>
    </xf>
    <xf numFmtId="0" fontId="9" fillId="5" borderId="3" xfId="0" applyFont="1" applyFill="1" applyBorder="1" applyAlignment="1">
      <alignment vertical="center"/>
    </xf>
    <xf numFmtId="0" fontId="9" fillId="5" borderId="22" xfId="0" applyFont="1" applyFill="1" applyBorder="1" applyAlignment="1">
      <alignment vertical="center"/>
    </xf>
    <xf numFmtId="0" fontId="5" fillId="0" borderId="20" xfId="0" applyFont="1" applyFill="1" applyBorder="1" applyAlignment="1">
      <alignment horizontal="left" vertical="center" wrapText="1"/>
    </xf>
    <xf numFmtId="0" fontId="5" fillId="0" borderId="0" xfId="0" applyFont="1" applyFill="1" applyBorder="1" applyAlignment="1">
      <alignment horizontal="left" vertical="center" wrapText="1"/>
    </xf>
    <xf numFmtId="0" fontId="5" fillId="0" borderId="21" xfId="0" applyFont="1" applyFill="1" applyBorder="1" applyAlignment="1">
      <alignment horizontal="left" vertical="center" wrapText="1"/>
    </xf>
    <xf numFmtId="0" fontId="11" fillId="0" borderId="0" xfId="0" applyFont="1" applyBorder="1" applyAlignment="1">
      <alignment horizontal="left" vertical="center" wrapText="1"/>
    </xf>
    <xf numFmtId="0" fontId="1" fillId="0" borderId="1" xfId="0" applyFont="1" applyBorder="1" applyAlignment="1">
      <alignment horizontal="left"/>
    </xf>
    <xf numFmtId="0" fontId="1" fillId="0" borderId="8" xfId="0" applyFont="1" applyBorder="1" applyAlignment="1">
      <alignment horizontal="left"/>
    </xf>
    <xf numFmtId="0" fontId="1" fillId="0" borderId="2" xfId="0" applyFont="1" applyBorder="1" applyAlignment="1">
      <alignment horizontal="left"/>
    </xf>
    <xf numFmtId="0" fontId="4" fillId="0" borderId="1" xfId="0" applyFont="1" applyBorder="1" applyAlignment="1">
      <alignment vertical="center"/>
    </xf>
    <xf numFmtId="0" fontId="4" fillId="0" borderId="8" xfId="0" applyFont="1" applyBorder="1" applyAlignment="1">
      <alignment vertical="center"/>
    </xf>
    <xf numFmtId="0" fontId="4" fillId="0" borderId="30" xfId="0" applyFont="1" applyBorder="1" applyAlignment="1">
      <alignment vertical="center"/>
    </xf>
    <xf numFmtId="0" fontId="6" fillId="0" borderId="28" xfId="0" applyFont="1" applyFill="1" applyBorder="1" applyAlignment="1">
      <alignment horizontal="center" vertical="center"/>
    </xf>
    <xf numFmtId="0" fontId="6" fillId="0" borderId="8" xfId="0" applyFont="1" applyFill="1" applyBorder="1" applyAlignment="1">
      <alignment horizontal="center" vertical="center"/>
    </xf>
    <xf numFmtId="0" fontId="6" fillId="0" borderId="30" xfId="0" applyFont="1" applyFill="1" applyBorder="1" applyAlignment="1">
      <alignment horizontal="center" vertical="center"/>
    </xf>
    <xf numFmtId="0" fontId="6" fillId="0" borderId="28" xfId="0" applyFont="1" applyBorder="1" applyAlignment="1">
      <alignment horizontal="center" vertical="center"/>
    </xf>
    <xf numFmtId="0" fontId="6" fillId="0" borderId="8" xfId="0" applyFont="1" applyBorder="1" applyAlignment="1">
      <alignment horizontal="center" vertical="center"/>
    </xf>
    <xf numFmtId="0" fontId="6" fillId="0" borderId="30" xfId="0" applyFont="1" applyBorder="1" applyAlignment="1">
      <alignment horizontal="center" vertical="center"/>
    </xf>
    <xf numFmtId="0" fontId="8" fillId="5" borderId="24" xfId="0" applyFont="1" applyFill="1" applyBorder="1" applyAlignment="1">
      <alignment horizontal="center" vertical="center"/>
    </xf>
    <xf numFmtId="0" fontId="8" fillId="5" borderId="5" xfId="0" applyFont="1" applyFill="1" applyBorder="1" applyAlignment="1">
      <alignment horizontal="center" vertical="center"/>
    </xf>
    <xf numFmtId="0" fontId="8" fillId="5" borderId="25"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8" xfId="0" applyFont="1" applyFill="1" applyBorder="1" applyAlignment="1">
      <alignment horizontal="center" vertical="center"/>
    </xf>
    <xf numFmtId="0" fontId="8" fillId="0" borderId="30" xfId="0" applyFont="1" applyFill="1" applyBorder="1" applyAlignment="1">
      <alignment horizontal="center" vertical="center"/>
    </xf>
    <xf numFmtId="0" fontId="9" fillId="5" borderId="28" xfId="0" applyFont="1" applyFill="1" applyBorder="1" applyAlignment="1">
      <alignment horizontal="left" vertical="center"/>
    </xf>
    <xf numFmtId="0" fontId="9" fillId="5" borderId="8" xfId="0" applyFont="1" applyFill="1" applyBorder="1" applyAlignment="1">
      <alignment horizontal="left" vertical="center"/>
    </xf>
    <xf numFmtId="0" fontId="9" fillId="5" borderId="9" xfId="0" applyFont="1" applyFill="1" applyBorder="1" applyAlignment="1">
      <alignment horizontal="center" vertical="center"/>
    </xf>
    <xf numFmtId="0" fontId="9" fillId="5" borderId="3" xfId="0" applyFont="1" applyFill="1" applyBorder="1" applyAlignment="1">
      <alignment horizontal="center" vertical="center"/>
    </xf>
    <xf numFmtId="0" fontId="9" fillId="5" borderId="22" xfId="0" applyFont="1" applyFill="1" applyBorder="1" applyAlignment="1">
      <alignment horizontal="center" vertical="center"/>
    </xf>
    <xf numFmtId="0" fontId="4" fillId="0" borderId="9" xfId="0" applyFont="1" applyFill="1" applyBorder="1" applyAlignment="1">
      <alignment horizontal="left" vertical="center" wrapText="1"/>
    </xf>
    <xf numFmtId="0" fontId="4" fillId="0" borderId="3" xfId="0" applyFont="1" applyFill="1" applyBorder="1" applyAlignment="1">
      <alignment horizontal="left" vertical="center"/>
    </xf>
    <xf numFmtId="0" fontId="4" fillId="0" borderId="22" xfId="0" applyFont="1" applyFill="1" applyBorder="1" applyAlignment="1">
      <alignment horizontal="left" vertical="center"/>
    </xf>
    <xf numFmtId="0" fontId="4" fillId="0" borderId="12" xfId="0" applyFont="1" applyFill="1" applyBorder="1" applyAlignment="1">
      <alignment horizontal="left" vertical="center"/>
    </xf>
    <xf numFmtId="0" fontId="4" fillId="0" borderId="0" xfId="0" applyFont="1" applyFill="1" applyBorder="1" applyAlignment="1">
      <alignment horizontal="left" vertical="center"/>
    </xf>
    <xf numFmtId="0" fontId="4" fillId="0" borderId="21" xfId="0" applyFont="1" applyFill="1" applyBorder="1" applyAlignment="1">
      <alignment horizontal="left" vertical="center"/>
    </xf>
    <xf numFmtId="0" fontId="4" fillId="0" borderId="4" xfId="0" applyFont="1" applyFill="1" applyBorder="1" applyAlignment="1">
      <alignment horizontal="left" vertical="center"/>
    </xf>
    <xf numFmtId="0" fontId="4" fillId="0" borderId="5" xfId="0" applyFont="1" applyFill="1" applyBorder="1" applyAlignment="1">
      <alignment horizontal="left" vertical="center"/>
    </xf>
    <xf numFmtId="0" fontId="4" fillId="0" borderId="25" xfId="0" applyFont="1" applyFill="1" applyBorder="1" applyAlignment="1">
      <alignment horizontal="left" vertical="center"/>
    </xf>
    <xf numFmtId="0" fontId="3" fillId="0" borderId="1" xfId="0" applyFont="1" applyFill="1" applyBorder="1" applyAlignment="1">
      <alignment vertical="center"/>
    </xf>
    <xf numFmtId="0" fontId="3" fillId="0" borderId="8" xfId="0" applyFont="1" applyFill="1" applyBorder="1" applyAlignment="1">
      <alignment vertical="center"/>
    </xf>
    <xf numFmtId="0" fontId="3" fillId="0" borderId="30" xfId="0" applyFont="1" applyFill="1" applyBorder="1" applyAlignment="1">
      <alignment vertical="center"/>
    </xf>
    <xf numFmtId="0" fontId="18" fillId="0" borderId="26" xfId="0" applyFont="1" applyFill="1" applyBorder="1" applyAlignment="1">
      <alignment horizontal="center" vertical="center"/>
    </xf>
    <xf numFmtId="0" fontId="5" fillId="2" borderId="1" xfId="0" applyFont="1" applyFill="1" applyBorder="1" applyAlignment="1">
      <alignment vertical="center"/>
    </xf>
    <xf numFmtId="0" fontId="5" fillId="2" borderId="8" xfId="0" applyFont="1" applyFill="1" applyBorder="1" applyAlignment="1">
      <alignment vertical="center"/>
    </xf>
    <xf numFmtId="0" fontId="5" fillId="2" borderId="2" xfId="0" applyFont="1" applyFill="1" applyBorder="1" applyAlignment="1">
      <alignment vertical="center"/>
    </xf>
    <xf numFmtId="0" fontId="6" fillId="0" borderId="1" xfId="0" applyFont="1" applyBorder="1" applyAlignment="1">
      <alignment vertical="center"/>
    </xf>
    <xf numFmtId="0" fontId="6" fillId="0" borderId="8" xfId="0" applyFont="1" applyBorder="1" applyAlignment="1">
      <alignment vertical="center"/>
    </xf>
    <xf numFmtId="0" fontId="6" fillId="0" borderId="2" xfId="0" applyFont="1" applyBorder="1" applyAlignment="1">
      <alignment vertical="center"/>
    </xf>
    <xf numFmtId="0" fontId="6" fillId="0" borderId="11" xfId="0" applyFont="1" applyBorder="1" applyAlignment="1">
      <alignment horizontal="center" vertical="center" wrapText="1"/>
    </xf>
    <xf numFmtId="0" fontId="6" fillId="0" borderId="13" xfId="0" applyFont="1" applyBorder="1" applyAlignment="1">
      <alignment horizontal="center" vertical="center" wrapText="1"/>
    </xf>
    <xf numFmtId="0" fontId="10" fillId="5" borderId="1" xfId="0" applyFont="1" applyFill="1" applyBorder="1" applyAlignment="1">
      <alignment vertical="center"/>
    </xf>
    <xf numFmtId="0" fontId="10" fillId="5" borderId="8" xfId="0" applyFont="1" applyFill="1" applyBorder="1" applyAlignment="1">
      <alignment vertical="center"/>
    </xf>
    <xf numFmtId="0" fontId="10" fillId="5" borderId="2" xfId="0" applyFont="1" applyFill="1" applyBorder="1" applyAlignment="1">
      <alignment vertical="center"/>
    </xf>
    <xf numFmtId="0" fontId="18" fillId="2" borderId="26" xfId="0" applyFont="1" applyFill="1" applyBorder="1" applyAlignment="1">
      <alignment horizontal="center" vertical="center"/>
    </xf>
    <xf numFmtId="0" fontId="6" fillId="0" borderId="1" xfId="0" applyFont="1" applyFill="1" applyBorder="1" applyAlignment="1">
      <alignment vertical="center"/>
    </xf>
    <xf numFmtId="0" fontId="6" fillId="0" borderId="8" xfId="0" applyFont="1" applyFill="1" applyBorder="1" applyAlignment="1">
      <alignment vertical="center"/>
    </xf>
    <xf numFmtId="0" fontId="6" fillId="0" borderId="2" xfId="0" applyFont="1" applyFill="1" applyBorder="1" applyAlignment="1">
      <alignment vertical="center"/>
    </xf>
    <xf numFmtId="0" fontId="9" fillId="5" borderId="3" xfId="0" applyFont="1" applyFill="1" applyBorder="1" applyAlignment="1">
      <alignment horizontal="left" vertical="center"/>
    </xf>
    <xf numFmtId="0" fontId="9" fillId="5" borderId="22" xfId="0" applyFont="1" applyFill="1" applyBorder="1" applyAlignment="1">
      <alignment horizontal="left" vertical="center"/>
    </xf>
    <xf numFmtId="0" fontId="4" fillId="0" borderId="26" xfId="0" applyFont="1" applyBorder="1" applyAlignment="1">
      <alignment vertical="center" wrapText="1"/>
    </xf>
    <xf numFmtId="0" fontId="4" fillId="0" borderId="7" xfId="0" applyFont="1" applyBorder="1" applyAlignment="1">
      <alignment vertical="center"/>
    </xf>
    <xf numFmtId="0" fontId="4" fillId="0" borderId="27" xfId="0" applyFont="1" applyBorder="1" applyAlignment="1">
      <alignment vertical="center"/>
    </xf>
    <xf numFmtId="0" fontId="12" fillId="5" borderId="17" xfId="0" applyFont="1" applyFill="1" applyBorder="1" applyAlignment="1">
      <alignment horizontal="left" vertical="center"/>
    </xf>
    <xf numFmtId="0" fontId="12" fillId="5" borderId="18" xfId="0" applyFont="1" applyFill="1" applyBorder="1" applyAlignment="1">
      <alignment horizontal="left" vertical="center"/>
    </xf>
    <xf numFmtId="0" fontId="12" fillId="5" borderId="19" xfId="0" applyFont="1" applyFill="1" applyBorder="1" applyAlignment="1">
      <alignment horizontal="left" vertical="center"/>
    </xf>
    <xf numFmtId="0" fontId="2" fillId="0" borderId="23" xfId="0" applyFont="1" applyBorder="1" applyAlignment="1">
      <alignment horizontal="left" vertical="center" wrapText="1"/>
    </xf>
    <xf numFmtId="0" fontId="2" fillId="0" borderId="3" xfId="0" applyFont="1" applyBorder="1" applyAlignment="1">
      <alignment horizontal="left" vertical="center" wrapText="1"/>
    </xf>
    <xf numFmtId="0" fontId="2" fillId="0" borderId="22" xfId="0" applyFont="1" applyBorder="1" applyAlignment="1">
      <alignment horizontal="left" vertical="center" wrapText="1"/>
    </xf>
    <xf numFmtId="0" fontId="2" fillId="0" borderId="20" xfId="0" applyFont="1" applyBorder="1" applyAlignment="1">
      <alignment horizontal="left" vertical="center" wrapText="1"/>
    </xf>
    <xf numFmtId="0" fontId="2" fillId="0" borderId="0" xfId="0" applyFont="1" applyBorder="1" applyAlignment="1">
      <alignment horizontal="left" vertical="center" wrapText="1"/>
    </xf>
    <xf numFmtId="0" fontId="2" fillId="0" borderId="21" xfId="0" applyFont="1" applyBorder="1" applyAlignment="1">
      <alignment horizontal="left" vertical="center" wrapText="1"/>
    </xf>
    <xf numFmtId="0" fontId="15" fillId="5" borderId="14" xfId="0" applyFont="1" applyFill="1" applyBorder="1" applyAlignment="1">
      <alignment horizontal="center" vertical="center"/>
    </xf>
    <xf numFmtId="0" fontId="15" fillId="5" borderId="15" xfId="0" applyFont="1" applyFill="1" applyBorder="1" applyAlignment="1">
      <alignment horizontal="center" vertical="center"/>
    </xf>
    <xf numFmtId="0" fontId="15" fillId="5" borderId="32" xfId="0" applyFont="1" applyFill="1" applyBorder="1" applyAlignment="1">
      <alignment horizontal="center" vertical="center"/>
    </xf>
    <xf numFmtId="0" fontId="4" fillId="0" borderId="0" xfId="0" applyFont="1" applyBorder="1" applyAlignment="1">
      <alignment horizontal="left" vertical="center"/>
    </xf>
    <xf numFmtId="0" fontId="4" fillId="0" borderId="21" xfId="0" applyFont="1" applyBorder="1" applyAlignment="1">
      <alignment horizontal="left" vertical="center"/>
    </xf>
    <xf numFmtId="15" fontId="4" fillId="0" borderId="0" xfId="0" applyNumberFormat="1" applyFont="1" applyBorder="1" applyAlignment="1">
      <alignment horizontal="center" vertical="center"/>
    </xf>
    <xf numFmtId="0" fontId="4" fillId="0" borderId="0" xfId="0" applyFont="1" applyBorder="1" applyAlignment="1">
      <alignment horizontal="center" vertical="center"/>
    </xf>
    <xf numFmtId="0" fontId="4" fillId="0" borderId="21" xfId="0" applyFont="1" applyBorder="1" applyAlignment="1">
      <alignment horizontal="center" vertical="center"/>
    </xf>
    <xf numFmtId="0" fontId="6" fillId="0" borderId="0" xfId="0" applyFont="1" applyBorder="1" applyAlignment="1">
      <alignment horizontal="left" vertical="center"/>
      <extLst>
        <ext xmlns:xfpb="http://schemas.microsoft.com/office/spreadsheetml/2022/featurepropertybag" uri="{C7286773-470A-42A8-94C5-96B5CB345126}">
          <xfpb:xfComplement i="0"/>
        </ext>
      </extLst>
    </xf>
    <xf numFmtId="0" fontId="6" fillId="0" borderId="21" xfId="0" applyFont="1" applyBorder="1" applyAlignment="1">
      <alignment horizontal="left" vertical="center"/>
      <extLst>
        <ext xmlns:xfpb="http://schemas.microsoft.com/office/spreadsheetml/2022/featurepropertybag" uri="{C7286773-470A-42A8-94C5-96B5CB345126}">
          <xfpb:xfComplement i="0"/>
        </ext>
      </extLst>
    </xf>
    <xf numFmtId="164" fontId="4" fillId="0" borderId="0" xfId="0" applyNumberFormat="1" applyFont="1" applyBorder="1" applyAlignment="1">
      <alignment horizontal="left" vertical="center"/>
    </xf>
    <xf numFmtId="0" fontId="7" fillId="0" borderId="0" xfId="0" applyFont="1" applyBorder="1" applyAlignment="1">
      <alignment horizontal="left" vertical="center"/>
    </xf>
    <xf numFmtId="0" fontId="6" fillId="0" borderId="33" xfId="0" applyFont="1" applyBorder="1" applyAlignment="1">
      <alignment horizontal="center" vertical="center"/>
    </xf>
    <xf numFmtId="0" fontId="6" fillId="0" borderId="16" xfId="0" applyFont="1" applyBorder="1" applyAlignment="1">
      <alignment horizontal="center" vertical="center"/>
    </xf>
    <xf numFmtId="0" fontId="6" fillId="0" borderId="34" xfId="0" applyFont="1" applyBorder="1" applyAlignment="1">
      <alignment horizontal="center" vertical="center"/>
    </xf>
    <xf numFmtId="0" fontId="9" fillId="5" borderId="24" xfId="0" applyFont="1" applyFill="1" applyBorder="1" applyAlignment="1">
      <alignment horizontal="left" vertical="center" wrapText="1"/>
    </xf>
    <xf numFmtId="0" fontId="9" fillId="5" borderId="5" xfId="0" applyFont="1" applyFill="1" applyBorder="1" applyAlignment="1">
      <alignment horizontal="left" vertical="center" wrapText="1"/>
    </xf>
    <xf numFmtId="0" fontId="9" fillId="5" borderId="25" xfId="0" applyFont="1" applyFill="1" applyBorder="1" applyAlignment="1">
      <alignment horizontal="left" vertical="center" wrapText="1"/>
    </xf>
    <xf numFmtId="0" fontId="0" fillId="0" borderId="0" xfId="0" applyBorder="1" applyAlignment="1">
      <alignment horizontal="center"/>
    </xf>
    <xf numFmtId="0" fontId="0" fillId="0" borderId="40" xfId="0" applyFill="1" applyBorder="1" applyAlignment="1">
      <alignment vertical="center" wrapText="1"/>
    </xf>
    <xf numFmtId="0" fontId="16" fillId="0" borderId="21" xfId="0" applyFont="1" applyBorder="1" applyAlignment="1">
      <alignment horizontal="center" vertical="center"/>
    </xf>
    <xf numFmtId="0" fontId="0" fillId="0" borderId="40" xfId="0" applyBorder="1" applyAlignment="1">
      <alignment horizontal="center" vertical="center"/>
    </xf>
    <xf numFmtId="0" fontId="0" fillId="0" borderId="40" xfId="0" applyFill="1" applyBorder="1" applyAlignment="1">
      <alignment horizontal="center" vertical="center"/>
    </xf>
    <xf numFmtId="0" fontId="0" fillId="0" borderId="40" xfId="0" applyFont="1" applyFill="1" applyBorder="1" applyAlignment="1">
      <alignment horizontal="left" vertical="top" wrapText="1"/>
    </xf>
    <xf numFmtId="0" fontId="20" fillId="0" borderId="40" xfId="0" applyFont="1" applyBorder="1" applyAlignment="1">
      <alignment horizontal="left" vertical="top" wrapText="1"/>
    </xf>
    <xf numFmtId="0" fontId="0" fillId="0" borderId="40" xfId="0" applyBorder="1" applyAlignment="1">
      <alignment horizontal="left" vertical="top" wrapText="1"/>
    </xf>
    <xf numFmtId="0" fontId="17" fillId="0" borderId="40" xfId="1" applyBorder="1" applyAlignment="1">
      <alignment vertical="center" wrapText="1"/>
    </xf>
    <xf numFmtId="0" fontId="16" fillId="0" borderId="0" xfId="0" applyFont="1" applyAlignment="1">
      <alignment vertical="center" wrapText="1"/>
    </xf>
    <xf numFmtId="0" fontId="21" fillId="5" borderId="0" xfId="0" applyFont="1" applyFill="1" applyBorder="1" applyAlignment="1">
      <alignment horizontal="center"/>
    </xf>
    <xf numFmtId="0" fontId="21" fillId="5" borderId="0" xfId="0" applyFont="1" applyFill="1" applyBorder="1"/>
    <xf numFmtId="0" fontId="21" fillId="5" borderId="0" xfId="0" applyFont="1" applyFill="1" applyBorder="1" applyAlignment="1"/>
    <xf numFmtId="0" fontId="22" fillId="7" borderId="40" xfId="0" applyFont="1" applyFill="1" applyBorder="1" applyAlignment="1">
      <alignment horizontal="left" vertical="center"/>
    </xf>
    <xf numFmtId="0" fontId="9" fillId="5" borderId="40" xfId="0" applyFont="1" applyFill="1" applyBorder="1" applyAlignment="1">
      <alignment horizontal="left" vertical="center" wrapText="1"/>
    </xf>
    <xf numFmtId="4" fontId="16" fillId="0" borderId="0" xfId="0" applyNumberFormat="1" applyFont="1" applyAlignment="1">
      <alignment horizontal="center" vertical="center" wrapText="1"/>
    </xf>
    <xf numFmtId="169" fontId="16" fillId="0" borderId="42" xfId="0" applyNumberFormat="1" applyFont="1" applyBorder="1" applyAlignment="1">
      <alignment horizontal="left" vertical="center"/>
    </xf>
    <xf numFmtId="169" fontId="0" fillId="0" borderId="40" xfId="0" applyNumberFormat="1" applyBorder="1" applyAlignment="1">
      <alignment vertical="center" wrapText="1"/>
    </xf>
    <xf numFmtId="169" fontId="0" fillId="0" borderId="40" xfId="0" applyNumberFormat="1" applyFill="1" applyBorder="1" applyAlignment="1">
      <alignment vertical="center" wrapText="1"/>
    </xf>
    <xf numFmtId="169" fontId="21" fillId="5" borderId="0" xfId="0" applyNumberFormat="1" applyFont="1" applyFill="1" applyBorder="1"/>
    <xf numFmtId="169" fontId="0" fillId="0" borderId="0" xfId="0" applyNumberFormat="1" applyBorder="1"/>
    <xf numFmtId="169" fontId="16" fillId="0" borderId="0" xfId="0" applyNumberFormat="1" applyFont="1" applyAlignment="1">
      <alignment horizontal="center" vertical="center" wrapText="1"/>
    </xf>
    <xf numFmtId="169" fontId="0" fillId="0" borderId="0" xfId="0" applyNumberFormat="1" applyAlignment="1">
      <alignment vertical="center" wrapText="1"/>
    </xf>
    <xf numFmtId="169" fontId="16" fillId="0" borderId="20" xfId="0" applyNumberFormat="1" applyFont="1" applyBorder="1" applyAlignment="1">
      <alignment horizontal="left" vertical="center"/>
    </xf>
    <xf numFmtId="169" fontId="0" fillId="0" borderId="40" xfId="0" applyNumberFormat="1" applyBorder="1" applyAlignment="1">
      <alignment vertical="center"/>
    </xf>
    <xf numFmtId="169" fontId="22" fillId="7" borderId="40" xfId="0" applyNumberFormat="1" applyFont="1" applyFill="1" applyBorder="1" applyAlignment="1">
      <alignment horizontal="center" vertical="center"/>
    </xf>
    <xf numFmtId="0" fontId="4" fillId="0" borderId="40" xfId="0" applyFont="1" applyBorder="1" applyAlignment="1">
      <alignment vertical="center" wrapText="1"/>
    </xf>
  </cellXfs>
  <cellStyles count="2">
    <cellStyle name="Hyperlink" xfId="1" builtinId="8"/>
    <cellStyle name="Normal" xfId="0" builtinId="0"/>
  </cellStyles>
  <dxfs count="13">
    <dxf>
      <numFmt numFmtId="169" formatCode="#,##0.00\ [$€-1]"/>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0.00\ [$€-1]"/>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left"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colors>
    <mruColors>
      <color rgb="FF1D4ED8"/>
      <color rgb="FFD6EA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22/11/relationships/FeaturePropertyBag" Target="featurePropertyBag/featurePropertyBag.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806450</xdr:colOff>
          <xdr:row>7</xdr:row>
          <xdr:rowOff>6350</xdr:rowOff>
        </xdr:from>
        <xdr:to>
          <xdr:col>1</xdr:col>
          <xdr:colOff>977900</xdr:colOff>
          <xdr:row>8</xdr:row>
          <xdr:rowOff>6350</xdr:rowOff>
        </xdr:to>
        <xdr:sp macro="" textlink="">
          <xdr:nvSpPr>
            <xdr:cNvPr id="8193" name="Check Box 1" hidden="1">
              <a:extLst>
                <a:ext uri="{63B3BB69-23CF-44E3-9099-C40C66FF867C}">
                  <a14:compatExt spid="_x0000_s819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527050</xdr:colOff>
          <xdr:row>37</xdr:row>
          <xdr:rowOff>222250</xdr:rowOff>
        </xdr:from>
        <xdr:to>
          <xdr:col>2</xdr:col>
          <xdr:colOff>6350</xdr:colOff>
          <xdr:row>39</xdr:row>
          <xdr:rowOff>12700</xdr:rowOff>
        </xdr:to>
        <xdr:sp macro="" textlink="">
          <xdr:nvSpPr>
            <xdr:cNvPr id="8194" name="Check Box 2" hidden="1">
              <a:extLst>
                <a:ext uri="{63B3BB69-23CF-44E3-9099-C40C66FF867C}">
                  <a14:compatExt spid="_x0000_s819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527050</xdr:colOff>
          <xdr:row>38</xdr:row>
          <xdr:rowOff>146050</xdr:rowOff>
        </xdr:from>
        <xdr:to>
          <xdr:col>1</xdr:col>
          <xdr:colOff>1225550</xdr:colOff>
          <xdr:row>40</xdr:row>
          <xdr:rowOff>6350</xdr:rowOff>
        </xdr:to>
        <xdr:sp macro="" textlink="">
          <xdr:nvSpPr>
            <xdr:cNvPr id="8195" name="Check Box 3" hidden="1">
              <a:extLst>
                <a:ext uri="{63B3BB69-23CF-44E3-9099-C40C66FF867C}">
                  <a14:compatExt spid="_x0000_s819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527050</xdr:colOff>
          <xdr:row>40</xdr:row>
          <xdr:rowOff>165100</xdr:rowOff>
        </xdr:from>
        <xdr:to>
          <xdr:col>2</xdr:col>
          <xdr:colOff>6350</xdr:colOff>
          <xdr:row>42</xdr:row>
          <xdr:rowOff>31750</xdr:rowOff>
        </xdr:to>
        <xdr:sp macro="" textlink="">
          <xdr:nvSpPr>
            <xdr:cNvPr id="8196" name="Check Box 4" hidden="1">
              <a:extLst>
                <a:ext uri="{63B3BB69-23CF-44E3-9099-C40C66FF867C}">
                  <a14:compatExt spid="_x0000_s819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527050</xdr:colOff>
          <xdr:row>41</xdr:row>
          <xdr:rowOff>152400</xdr:rowOff>
        </xdr:from>
        <xdr:to>
          <xdr:col>2</xdr:col>
          <xdr:colOff>0</xdr:colOff>
          <xdr:row>43</xdr:row>
          <xdr:rowOff>25400</xdr:rowOff>
        </xdr:to>
        <xdr:sp macro="" textlink="">
          <xdr:nvSpPr>
            <xdr:cNvPr id="8197" name="Check Box 5" hidden="1">
              <a:extLst>
                <a:ext uri="{63B3BB69-23CF-44E3-9099-C40C66FF867C}">
                  <a14:compatExt spid="_x0000_s819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527050</xdr:colOff>
          <xdr:row>42</xdr:row>
          <xdr:rowOff>165100</xdr:rowOff>
        </xdr:from>
        <xdr:to>
          <xdr:col>2</xdr:col>
          <xdr:colOff>0</xdr:colOff>
          <xdr:row>44</xdr:row>
          <xdr:rowOff>31750</xdr:rowOff>
        </xdr:to>
        <xdr:sp macro="" textlink="">
          <xdr:nvSpPr>
            <xdr:cNvPr id="8198" name="Check Box 6" hidden="1">
              <a:extLst>
                <a:ext uri="{63B3BB69-23CF-44E3-9099-C40C66FF867C}">
                  <a14:compatExt spid="_x0000_s819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527050</xdr:colOff>
          <xdr:row>43</xdr:row>
          <xdr:rowOff>165100</xdr:rowOff>
        </xdr:from>
        <xdr:to>
          <xdr:col>2</xdr:col>
          <xdr:colOff>0</xdr:colOff>
          <xdr:row>45</xdr:row>
          <xdr:rowOff>31750</xdr:rowOff>
        </xdr:to>
        <xdr:sp macro="" textlink="">
          <xdr:nvSpPr>
            <xdr:cNvPr id="8199" name="Check Box 7" hidden="1">
              <a:extLst>
                <a:ext uri="{63B3BB69-23CF-44E3-9099-C40C66FF867C}">
                  <a14:compatExt spid="_x0000_s819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527050</xdr:colOff>
          <xdr:row>44</xdr:row>
          <xdr:rowOff>165100</xdr:rowOff>
        </xdr:from>
        <xdr:to>
          <xdr:col>2</xdr:col>
          <xdr:colOff>0</xdr:colOff>
          <xdr:row>46</xdr:row>
          <xdr:rowOff>31750</xdr:rowOff>
        </xdr:to>
        <xdr:sp macro="" textlink="">
          <xdr:nvSpPr>
            <xdr:cNvPr id="8200" name="Check Box 8" hidden="1">
              <a:extLst>
                <a:ext uri="{63B3BB69-23CF-44E3-9099-C40C66FF867C}">
                  <a14:compatExt spid="_x0000_s8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533400</xdr:colOff>
          <xdr:row>45</xdr:row>
          <xdr:rowOff>158750</xdr:rowOff>
        </xdr:from>
        <xdr:to>
          <xdr:col>2</xdr:col>
          <xdr:colOff>0</xdr:colOff>
          <xdr:row>47</xdr:row>
          <xdr:rowOff>25400</xdr:rowOff>
        </xdr:to>
        <xdr:sp macro="" textlink="">
          <xdr:nvSpPr>
            <xdr:cNvPr id="8201" name="Check Box 9" hidden="1">
              <a:extLst>
                <a:ext uri="{63B3BB69-23CF-44E3-9099-C40C66FF867C}">
                  <a14:compatExt spid="_x0000_s820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527050</xdr:colOff>
          <xdr:row>46</xdr:row>
          <xdr:rowOff>152400</xdr:rowOff>
        </xdr:from>
        <xdr:to>
          <xdr:col>1</xdr:col>
          <xdr:colOff>1225550</xdr:colOff>
          <xdr:row>48</xdr:row>
          <xdr:rowOff>25400</xdr:rowOff>
        </xdr:to>
        <xdr:sp macro="" textlink="">
          <xdr:nvSpPr>
            <xdr:cNvPr id="8202" name="Check Box 10" hidden="1">
              <a:extLst>
                <a:ext uri="{63B3BB69-23CF-44E3-9099-C40C66FF867C}">
                  <a14:compatExt spid="_x0000_s820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527050</xdr:colOff>
          <xdr:row>39</xdr:row>
          <xdr:rowOff>158750</xdr:rowOff>
        </xdr:from>
        <xdr:to>
          <xdr:col>2</xdr:col>
          <xdr:colOff>6350</xdr:colOff>
          <xdr:row>41</xdr:row>
          <xdr:rowOff>25400</xdr:rowOff>
        </xdr:to>
        <xdr:sp macro="" textlink="">
          <xdr:nvSpPr>
            <xdr:cNvPr id="8203" name="Check Box 11" hidden="1">
              <a:extLst>
                <a:ext uri="{63B3BB69-23CF-44E3-9099-C40C66FF867C}">
                  <a14:compatExt spid="_x0000_s820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850900</xdr:colOff>
          <xdr:row>6</xdr:row>
          <xdr:rowOff>165100</xdr:rowOff>
        </xdr:from>
        <xdr:to>
          <xdr:col>2</xdr:col>
          <xdr:colOff>1555750</xdr:colOff>
          <xdr:row>8</xdr:row>
          <xdr:rowOff>31750</xdr:rowOff>
        </xdr:to>
        <xdr:sp macro="" textlink="">
          <xdr:nvSpPr>
            <xdr:cNvPr id="8204" name="Check Box 12" hidden="1">
              <a:extLst>
                <a:ext uri="{63B3BB69-23CF-44E3-9099-C40C66FF867C}">
                  <a14:compatExt spid="_x0000_s820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254000</xdr:colOff>
          <xdr:row>8</xdr:row>
          <xdr:rowOff>158750</xdr:rowOff>
        </xdr:from>
        <xdr:to>
          <xdr:col>1</xdr:col>
          <xdr:colOff>958850</xdr:colOff>
          <xdr:row>10</xdr:row>
          <xdr:rowOff>19050</xdr:rowOff>
        </xdr:to>
        <xdr:sp macro="" textlink="">
          <xdr:nvSpPr>
            <xdr:cNvPr id="8206" name="Check Box 14" hidden="1">
              <a:extLst>
                <a:ext uri="{63B3BB69-23CF-44E3-9099-C40C66FF867C}">
                  <a14:compatExt spid="_x0000_s820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id="1" name="Table1" displayName="Table1" ref="A1:H30" totalsRowShown="0" headerRowDxfId="12" dataDxfId="11" headerRowBorderDxfId="9" tableBorderDxfId="10" totalsRowBorderDxfId="8">
  <autoFilter ref="A1:H30"/>
  <tableColumns count="8">
    <tableColumn id="1" name="Sr. No" dataDxfId="7"/>
    <tableColumn id="2" name="Component Name" dataDxfId="6"/>
    <tableColumn id="8" name="Variant" dataDxfId="2"/>
    <tableColumn id="3" name="Description / Use" dataDxfId="5"/>
    <tableColumn id="4" name="Link to AliExpress / Source" dataDxfId="4" dataCellStyle="Hyperlink"/>
    <tableColumn id="5" name="Quantity" dataDxfId="3"/>
    <tableColumn id="6" name="Unit Price ($)" dataDxfId="1"/>
    <tableColumn id="7" name="Total Price ($)" dataDxfId="0">
      <calculatedColumnFormula>F2*G2</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3.xml.rels><?xml version="1.0" encoding="UTF-8" standalone="yes"?>
<Relationships xmlns="http://schemas.openxmlformats.org/package/2006/relationships"><Relationship Id="rId13" Type="http://schemas.openxmlformats.org/officeDocument/2006/relationships/hyperlink" Target="https://www.aliexpress.com/item/1005009187317552.html?spm=a2g0o.cart.0.0.5ac338daj03phI&amp;mp=1&amp;pdp_npi=5%40dis%21EUR%21EUR%205.54%21EUR%202.71%21%21EUR%202.66%21%21%21%402103892f17579274882313535e5ba5%2112000050691352476%21ct%21FI%212581384438%21%211%210" TargetMode="External"/><Relationship Id="rId18" Type="http://schemas.openxmlformats.org/officeDocument/2006/relationships/hyperlink" Target="https://www.aliexpress.com/item/1005008714908011.html?spm=a2g0o.cart.0.0.5ac338daj03phI&amp;mp=1&amp;pdp_npi=5%40dis%21EUR%21EUR%207.55%21EUR%203.51%21%21EUR%203.51%21%21%21%402103892f17579274882313535e5ba5%2112000046359830441%21ct%21FI%212581384438%21%211%210" TargetMode="External"/><Relationship Id="rId26" Type="http://schemas.openxmlformats.org/officeDocument/2006/relationships/hyperlink" Target="https://www.aliexpress.com/item/1005007805415797.html?spm=a2g0o.cart.0.0.5ac338daj03phI&amp;mp=1&amp;pdp_npi=5%40dis%21EUR%21EUR%208.80%21EUR%203.88%21%21EUR%203.80%21%21%21%402103892f17579274882313535e5ba5%2112000042261855483%21ct%21FI%212581384438%21%211%210" TargetMode="External"/><Relationship Id="rId3" Type="http://schemas.openxmlformats.org/officeDocument/2006/relationships/hyperlink" Target="https://www.aliexpress.com/item/32884941176.html?spm=a2g0o.cart.0.0.5ac338daj03phI&amp;mp=1&amp;pdp_npi=5%40dis%21EUR%21EUR%200.33%21EUR%200.33%21%21EUR%200.33%21%21%21%402103892f17579274882313535_" TargetMode="External"/><Relationship Id="rId21" Type="http://schemas.openxmlformats.org/officeDocument/2006/relationships/hyperlink" Target="https://www.aliexpress.com/item/1005004445890739.html?spm=a2g0o.cart.0.0.5ac338daj03phI&amp;mp=1&amp;pdp_npi=5%40dis%21EUR%21EUR%2050.36%21EUR%2045.00%21%21EUR%2045.00%21%21%21%402103892f17579274882313535e5ba5%2112000039049843521%21ct%21FI%212581384438%21%212%210" TargetMode="External"/><Relationship Id="rId7" Type="http://schemas.openxmlformats.org/officeDocument/2006/relationships/hyperlink" Target="https://www.aliexpress.com/item/1005007091283048.html?spm=a2g0o.cart.0.0.5ac338daj03phI&amp;mp=1&amp;pdp_npi=5%40dis%21EUR%21EUR%201.68%21EUR%201.65%21%21EUR%201.65%21%21%21%402103892f17579274882313535e5ba5%2112000039368400189%21ct%21FI%212581384438%21%211%210" TargetMode="External"/><Relationship Id="rId12" Type="http://schemas.openxmlformats.org/officeDocument/2006/relationships/hyperlink" Target="https://www.aliexpress.com/item/1005005753363625.html?spm=a2g0o.cart.0.0.5ac338daj03phI&amp;mp=1&amp;pdp_npi=5%40dis%21EUR%21EUR%204.24%21EUR%203.98%21%21EUR%203.78%21%21%21%402103892f17579274882313535e5ba5%2112000034230563615%21ct%21FI%212581384438%21%211%210&amp;pd" TargetMode="External"/><Relationship Id="rId17" Type="http://schemas.openxmlformats.org/officeDocument/2006/relationships/hyperlink" Target="https://www.aliexpress.com/item/1005008283828351.html?spm=a2g0o.cart.0.0.5ac338daj03phI&amp;mp=1&amp;pdp_npi=5%40dis%21EUR%21EUR%2055.61%21EUR%2027.80%21%21EUR%2027.80%21%21%21%402103892f17579274882313535e5ba5%2112000044480931343%21ct%21FI%212581384438%21%211%210" TargetMode="External"/><Relationship Id="rId25" Type="http://schemas.openxmlformats.org/officeDocument/2006/relationships/hyperlink" Target="https://www.aliexpress.com/item/1005005432652562.html?spm=a2g0o.cart.0.0.5ac338daj03phI&amp;mp=1&amp;pdp_npi=5%40dis%21EUR%21EUR%2034.33%21EUR%2017.85%21%21EUR%2017.31%21%21%21%402103892f17579274882313535e5ba5%2112000033057845168%21ct%21FI%212581384438%21%211%210" TargetMode="External"/><Relationship Id="rId33" Type="http://schemas.openxmlformats.org/officeDocument/2006/relationships/table" Target="../tables/table1.xml"/><Relationship Id="rId2" Type="http://schemas.openxmlformats.org/officeDocument/2006/relationships/hyperlink" Target="https://www.aliexpress.com/item/1005003422066803.html?spm=a2g0o.cart.0.0.5ac338daj03phI&amp;mp=1&amp;pdp_npi=5%40dis%21EUR%21EUR%2016.03%21EUR%2015.45%21%21EUR%2015.14%21%21%21%402103892f17579274882313535e5ba5%2112000025714268095%21ct%21FI%212581384438%21%211%210" TargetMode="External"/><Relationship Id="rId16" Type="http://schemas.openxmlformats.org/officeDocument/2006/relationships/hyperlink" Target="https://www.aliexpress.com/item/1005008248136409.html?spm=a2g0o.cart.0.0.5ac338daj03phI&amp;mp=1&amp;pdp_npi=5%40dis%21EUR%21EUR%208.44%21EUR%204.05%21%21EUR%203.97%21%21%21%402103892f17579274882313535e5ba5%2112000044371474476%21ct%21FI%212581384438%21%211%210" TargetMode="External"/><Relationship Id="rId20" Type="http://schemas.openxmlformats.org/officeDocument/2006/relationships/hyperlink" Target="https://www.aliexpress.com/item/33006854069.html?spm=a2g0o.cart.0.0.5ac338daj03phI&amp;mp=1&amp;pdp_npi=5%40dis%21EUR%21EUR%201.67%21EUR%201.58%21%21EUR%201.58%21%21%21%402103892f17579274882313535e5ba5%2112000046411728635%21ct%21FI%212581384438%21%214%210" TargetMode="External"/><Relationship Id="rId29" Type="http://schemas.openxmlformats.org/officeDocument/2006/relationships/hyperlink" Target="https://www.aliexpress.com/item/1005005547982922.html?spm=a2g0o.cart.0.0.5ac338daYBXAFj&amp;mp=1&amp;pdp_npi=5%40dis%21EUR%21EUR%204.20%21EUR%203.98%21%21EUR%203.98%21%21%21%40210385bb17579295074556467e763d%2112000037935402379%21ct%21FI%212581384438%21%212%210" TargetMode="External"/><Relationship Id="rId1" Type="http://schemas.openxmlformats.org/officeDocument/2006/relationships/hyperlink" Target="https://www.aliexpress.com/item/1005003422066803.html?spm=a2g0o.cart.0.0.5ac338daj03phI&amp;mp=1&amp;pdp_npi=5%40dis%21EUR%21EUR%2016.03%21EUR%2015.45%21%21EUR%2015.14%21%21%21%402103892f17579274882313535e5ba5%2112000025714268095%21ct%21FI%212581384438%21%211%210" TargetMode="External"/><Relationship Id="rId6" Type="http://schemas.openxmlformats.org/officeDocument/2006/relationships/hyperlink" Target="https://www.aliexpress.com/item/1005007125827279.html?spm=a2g0o.cart.0.0.5ac338daj03phI&amp;mp=1&amp;pdp_npi=5%40dis%21EUR%21EUR%203.35%21EUR%203.18%21%21EUR%203.08%21%21%21%402103892f17579274882313535e5ba5%2112000039486986726%21ct%21FI%212581384438%21%211%210" TargetMode="External"/><Relationship Id="rId11" Type="http://schemas.openxmlformats.org/officeDocument/2006/relationships/hyperlink" Target="https://www.aliexpress.com/item/1005006338789865.html?spm=a2g0o.cart.0.0.5ac338daj03phI&amp;mp=1&amp;pdp_npi=5%40dis%21EUR%21EUR%203.91%21EUR%201.83%21%21EUR%201.83%21%21%21%402103892f17579274882313535e5ba5%2112000036815539142%21ct%21FI%212581384438%21%211%210" TargetMode="External"/><Relationship Id="rId24" Type="http://schemas.openxmlformats.org/officeDocument/2006/relationships/hyperlink" Target="https://www.aliexpress.com/item/1005005515394317.html?spm=a2g0o.cart.0.0.5ac338daj03phI&amp;mp=1&amp;pdp_npi=5%40dis%21EUR%21EUR%2068.49%21EUR%2037.67%21%21EUR%2037.67%21%21%21%402103892f17579274882313535e5ba5%2112000044281459536%21ct%21FI%212581384438%21%211%210" TargetMode="External"/><Relationship Id="rId32" Type="http://schemas.openxmlformats.org/officeDocument/2006/relationships/printerSettings" Target="../printerSettings/printerSettings3.bin"/><Relationship Id="rId5" Type="http://schemas.openxmlformats.org/officeDocument/2006/relationships/hyperlink" Target="https://www.aliexpress.com/item/1005007125827279.html?spm=a2g0o.cart.0.0.5ac338daj03phI&amp;mp=1&amp;pdp_npi=5%40dis%21EUR%21EUR%203.53%21EUR%203.36%21%21EUR%203.27%21%21%21%402103892f17579274882313535e5ba5%2112000039486986776%21ct%21FI%212581384438%21%211%210" TargetMode="External"/><Relationship Id="rId15" Type="http://schemas.openxmlformats.org/officeDocument/2006/relationships/hyperlink" Target="https://www.aliexpress.com/item/1005006153402428.html?spm=a2g0o.cart.0.0.5ac338daj03phI&amp;mp=1&amp;pdp_npi=5%40dis%21EUR%21EUR%201.72%21EUR%201.72%21%21EUR%201.72%21%21%21%402103892f17579274882313535e5ba5%2112000038116359648%21ct%21FI%212581384438%21%212%210" TargetMode="External"/><Relationship Id="rId23" Type="http://schemas.openxmlformats.org/officeDocument/2006/relationships/hyperlink" Target="https://www.aliexpress.com/item/1005005445234810.html?spm=a2g0o.cart.0.0.5ac338daj03phI&amp;mp=1&amp;pdp_npi=5%40dis%21EUR%21EUR%20108.49%21EUR%2050.99%21%21EUR%2050.99%21%21%21%402103892f17579274882313535e5ba5%2112000033109364984%21ct%21FI%212581384438%21%211%21" TargetMode="External"/><Relationship Id="rId28" Type="http://schemas.openxmlformats.org/officeDocument/2006/relationships/hyperlink" Target="https://www.aliexpress.com/item/1005009267990830.html?spm=a2g0o.cart.0.0.5ac338daj03phI&amp;mp=1&amp;pdp_npi=5%40dis%21EUR%21EUR%205.13%21EUR%202.51%21%21EUR%202.51%21%21%21%402103892f17579274882313535e5ba5%2112000048548291659%21ct%21FI%212581384438%21%212%210" TargetMode="External"/><Relationship Id="rId10" Type="http://schemas.openxmlformats.org/officeDocument/2006/relationships/hyperlink" Target="https://www.aliexpress.com/item/1005005588526837.html?spm=a2g0o.cart.0.0.5ac338daj03phI&amp;mp=1&amp;pdp_npi=5%40dis%21EUR%21EUR%20109.32%21EUR%2040.11%21%21EUR%2040.11%21%21%21%402103892f17579274882313535e5ba5%2112000033667247591%21ct%21FI%212581384438%21%211%21" TargetMode="External"/><Relationship Id="rId19" Type="http://schemas.openxmlformats.org/officeDocument/2006/relationships/hyperlink" Target="https://www.aliexpress.com/item/1005008189954350.html?spm=a2g0o.cart.0.0.5ac338daj03phI&amp;mp=1&amp;pdp_npi=5%40dis%21EUR%21EUR%204.51%21EUR%202.26%21%21EUR%202.26%21%21%21%402103892f17579274882313535e5ba5%2112000046577826888%21ct%21FI%212581384438%21%212%210" TargetMode="External"/><Relationship Id="rId31" Type="http://schemas.openxmlformats.org/officeDocument/2006/relationships/hyperlink" Target="https://www.aliexpress.com/item/1005005966865823.html?spm=a2g0o.productlist.main.1.6befOOm0OOm0Mj&amp;algo_pvid=4f3e9285-3f2e-4dca-9fa7-1c1bd0ebb9f2&amp;algo_exp_id=4f3e9285-3f2e-4dca-9fa7-1c1bd0ebb9f2-0&amp;pdp_ext_f=%7B%22order%22%3A%22243%22%2C%22eval%22%3A%221%22" TargetMode="External"/><Relationship Id="rId4" Type="http://schemas.openxmlformats.org/officeDocument/2006/relationships/hyperlink" Target="https://www.aliexpress.com/item/1005007125827279.html?spm=a2g0o.cart.0.0.5ac338daj03phI&amp;mp=1&amp;pdp_npi=5%40dis%21EUR%21EUR%203.32%21EUR%203.15%21%21EUR%203.06%21%21%21%402103892f17579274882313535e5ba5%2112000039486986736%21ct%21FI%212581384438%21%211%210" TargetMode="External"/><Relationship Id="rId9" Type="http://schemas.openxmlformats.org/officeDocument/2006/relationships/hyperlink" Target="https://www.aliexpress.com/item/1005006860992141.html?spm=a2g0o.cart.0.0.5ac338daj03phI&amp;mp=1&amp;pdp_npi=5%40dis%21EUR%21EUR%203.83%21EUR%201.76%21%21EUR%201.72%21%21%21%402103892f17579274882313535e5ba5%2112000038541989116%21ct%21FI%212581384438%21%212%210" TargetMode="External"/><Relationship Id="rId14" Type="http://schemas.openxmlformats.org/officeDocument/2006/relationships/hyperlink" Target="https://www.aliexpress.com/item/1005007635919863.html?spm=a2g0o.cart.0.0.5ac338daj03phI&amp;mp=1&amp;pdp_npi=5%40dis%21EUR%21EUR%204.16%21EUR%201.91%21%21EUR%201.87%21%21%21%402103892f17579274882313535e5ba5%2112000041590121314%21ct%21FI%212581384438%21%211%210" TargetMode="External"/><Relationship Id="rId22" Type="http://schemas.openxmlformats.org/officeDocument/2006/relationships/hyperlink" Target="https://www.aliexpress.com/item/1005008059514094.html?spm=a2g0o.cart.0.0.5ac338daj03phI&amp;mp=1&amp;pdp_npi=5%40dis%21EUR%21EUR%202.37%21EUR%202.25%21%21EUR%202.20%21%21%21%402103892f17579274882313535e5ba5%2112000043490205187%21ct%21FI%212581384438%21%211%210" TargetMode="External"/><Relationship Id="rId27" Type="http://schemas.openxmlformats.org/officeDocument/2006/relationships/hyperlink" Target="https://www.aliexpress.com/item/1005005985764748.html?spm=a2g0o.cart.0.0.5ac338daj03phI&amp;mp=1&amp;pdp_npi=5%40dis%21EUR%21EUR%205.14%21EUR%205.14%21%21EUR%205.14%21%21%21%402103892f17579274882313535e5ba5%2112000035186807163%21ct%21FI%212581384438%21%211%210" TargetMode="External"/><Relationship Id="rId30" Type="http://schemas.openxmlformats.org/officeDocument/2006/relationships/hyperlink" Target="https://www.aliexpress.com/item/1005008059514094.html?spm=a2g0o.cart.0.0.5ac338daj03phI&amp;mp=1&amp;pdp_npi=5%40dis%21EUR%21EUR%202.37%21EUR%202.25%21%21EUR%202.20%21%21%21%402103892f17579274882313535e5ba5%2112000043490205187%21ct%21FI%212581384438%21%211%210" TargetMode="External"/><Relationship Id="rId8" Type="http://schemas.openxmlformats.org/officeDocument/2006/relationships/hyperlink" Target="https://www.aliexpress.com/item/1005004981678168.html?spm=a2g0o.cart.0.0.5ac338daj03phI&amp;mp=1&amp;pdp_npi=5%40dis%21EUR%21EUR%202.48%21EUR%201.61%21%21EUR%201.61%21%21%21%402103892f17579274882313535e5ba5%2112000031307214218%21ct%21FI%212581384438%21%212%2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
  <sheetViews>
    <sheetView zoomScale="70" zoomScaleNormal="70" workbookViewId="0">
      <selection sqref="A1:F3"/>
    </sheetView>
  </sheetViews>
  <sheetFormatPr defaultColWidth="9.08984375" defaultRowHeight="15" customHeight="1" x14ac:dyDescent="0.3"/>
  <cols>
    <col min="1" max="1" width="37.453125" style="1" customWidth="1"/>
    <col min="2" max="2" width="17.90625" style="1" customWidth="1"/>
    <col min="3" max="3" width="35.36328125" style="1" customWidth="1"/>
    <col min="4" max="4" width="19.90625" style="1" customWidth="1"/>
    <col min="5" max="5" width="15.453125" style="1" customWidth="1"/>
    <col min="6" max="6" width="20" style="1" customWidth="1"/>
    <col min="7" max="16384" width="9.08984375" style="1"/>
  </cols>
  <sheetData>
    <row r="1" spans="1:9" ht="15.5" customHeight="1" x14ac:dyDescent="0.3">
      <c r="A1" s="190" t="s">
        <v>173</v>
      </c>
      <c r="B1" s="190"/>
      <c r="C1" s="190"/>
      <c r="D1" s="190"/>
      <c r="E1" s="190"/>
      <c r="F1" s="190"/>
    </row>
    <row r="2" spans="1:9" ht="409.5" customHeight="1" x14ac:dyDescent="0.3">
      <c r="A2" s="202" t="s">
        <v>175</v>
      </c>
      <c r="B2" s="202"/>
      <c r="C2" s="202"/>
      <c r="D2" s="202"/>
      <c r="E2" s="202"/>
      <c r="F2" s="202"/>
      <c r="I2" s="1">
        <v>2</v>
      </c>
    </row>
    <row r="3" spans="1:9" ht="69.5" customHeight="1" x14ac:dyDescent="0.3">
      <c r="A3" s="202"/>
      <c r="B3" s="202"/>
      <c r="C3" s="202"/>
      <c r="D3" s="202"/>
      <c r="E3" s="202"/>
      <c r="F3" s="202"/>
    </row>
  </sheetData>
  <mergeCells count="2">
    <mergeCell ref="A1:F1"/>
    <mergeCell ref="A2:F3"/>
  </mergeCells>
  <printOptions horizontalCentered="1"/>
  <pageMargins left="0.25" right="0.25" top="0.75" bottom="0.75" header="0.3" footer="0.3"/>
  <pageSetup paperSize="9" scale="67" fitToHeight="0"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F89"/>
  <sheetViews>
    <sheetView tabSelected="1" zoomScale="55" zoomScaleNormal="55" workbookViewId="0">
      <selection activeCell="J60" sqref="J60"/>
    </sheetView>
  </sheetViews>
  <sheetFormatPr defaultColWidth="9.08984375" defaultRowHeight="15" customHeight="1" x14ac:dyDescent="0.3"/>
  <cols>
    <col min="1" max="1" width="37.453125" style="1" customWidth="1"/>
    <col min="2" max="2" width="17.90625" style="1" customWidth="1"/>
    <col min="3" max="3" width="35.36328125" style="1" customWidth="1"/>
    <col min="4" max="4" width="19.90625" style="1" customWidth="1"/>
    <col min="5" max="5" width="15.453125" style="1" customWidth="1"/>
    <col min="6" max="6" width="20" style="1" customWidth="1"/>
    <col min="7" max="16384" width="9.08984375" style="1"/>
  </cols>
  <sheetData>
    <row r="1" spans="1:6" ht="27.75" customHeight="1" x14ac:dyDescent="0.3">
      <c r="A1" s="149" t="s">
        <v>0</v>
      </c>
      <c r="B1" s="150"/>
      <c r="C1" s="150"/>
      <c r="D1" s="150"/>
      <c r="E1" s="150"/>
      <c r="F1" s="151"/>
    </row>
    <row r="2" spans="1:6" ht="21" customHeight="1" thickBot="1" x14ac:dyDescent="0.35">
      <c r="A2" s="152" t="s">
        <v>1</v>
      </c>
      <c r="B2" s="153"/>
      <c r="C2" s="153"/>
      <c r="D2" s="153"/>
      <c r="E2" s="153"/>
      <c r="F2" s="154"/>
    </row>
    <row r="3" spans="1:6" ht="4.5" hidden="1" customHeight="1" x14ac:dyDescent="0.3">
      <c r="A3" s="155"/>
      <c r="B3" s="156"/>
      <c r="C3" s="156"/>
      <c r="D3" s="156"/>
      <c r="E3" s="156"/>
      <c r="F3" s="157"/>
    </row>
    <row r="4" spans="1:6" ht="14" x14ac:dyDescent="0.3">
      <c r="A4" s="40" t="s">
        <v>2</v>
      </c>
      <c r="B4" s="158"/>
      <c r="C4" s="159"/>
      <c r="D4" s="159"/>
      <c r="E4" s="159"/>
      <c r="F4" s="160"/>
    </row>
    <row r="5" spans="1:6" ht="14" x14ac:dyDescent="0.3">
      <c r="A5" s="22" t="s">
        <v>3</v>
      </c>
      <c r="B5" s="161" t="s">
        <v>81</v>
      </c>
      <c r="C5" s="161"/>
      <c r="D5" s="161"/>
      <c r="E5" s="161"/>
      <c r="F5" s="162"/>
    </row>
    <row r="6" spans="1:6" ht="14" x14ac:dyDescent="0.3">
      <c r="A6" s="22" t="s">
        <v>4</v>
      </c>
      <c r="B6" s="1" t="s">
        <v>174</v>
      </c>
    </row>
    <row r="7" spans="1:6" ht="14" x14ac:dyDescent="0.3">
      <c r="A7" s="22" t="s">
        <v>5</v>
      </c>
      <c r="B7" s="163">
        <v>45911</v>
      </c>
      <c r="C7" s="164"/>
      <c r="D7" s="17" t="s">
        <v>6</v>
      </c>
      <c r="E7" s="163">
        <v>45991</v>
      </c>
      <c r="F7" s="165"/>
    </row>
    <row r="8" spans="1:6" ht="14" x14ac:dyDescent="0.3">
      <c r="A8" s="22" t="s">
        <v>7</v>
      </c>
      <c r="B8" s="9" t="s">
        <v>8</v>
      </c>
      <c r="C8" s="8" t="s">
        <v>9</v>
      </c>
      <c r="E8" s="166"/>
      <c r="F8" s="167"/>
    </row>
    <row r="9" spans="1:6" ht="14" x14ac:dyDescent="0.3">
      <c r="A9" s="22" t="s">
        <v>10</v>
      </c>
      <c r="B9" s="168">
        <v>15</v>
      </c>
      <c r="C9" s="168"/>
      <c r="D9" s="169" t="s">
        <v>11</v>
      </c>
      <c r="E9" s="169"/>
      <c r="F9" s="23"/>
    </row>
    <row r="10" spans="1:6" ht="14" x14ac:dyDescent="0.3">
      <c r="A10" s="22" t="s">
        <v>12</v>
      </c>
      <c r="B10" s="6"/>
      <c r="C10" s="18"/>
      <c r="D10" s="18"/>
      <c r="E10" s="18"/>
      <c r="F10" s="24"/>
    </row>
    <row r="11" spans="1:6" ht="14.5" thickBot="1" x14ac:dyDescent="0.35">
      <c r="A11" s="170"/>
      <c r="B11" s="171"/>
      <c r="C11" s="171"/>
      <c r="D11" s="171"/>
      <c r="E11" s="171"/>
      <c r="F11" s="172"/>
    </row>
    <row r="12" spans="1:6" ht="15.5" customHeight="1" x14ac:dyDescent="0.3">
      <c r="A12" s="173" t="s">
        <v>13</v>
      </c>
      <c r="B12" s="174"/>
      <c r="C12" s="174"/>
      <c r="D12" s="174"/>
      <c r="E12" s="174"/>
      <c r="F12" s="175"/>
    </row>
    <row r="13" spans="1:6" ht="279.5" customHeight="1" x14ac:dyDescent="0.3">
      <c r="A13" s="146" t="s">
        <v>82</v>
      </c>
      <c r="B13" s="147"/>
      <c r="C13" s="147"/>
      <c r="D13" s="147"/>
      <c r="E13" s="147"/>
      <c r="F13" s="148"/>
    </row>
    <row r="14" spans="1:6" ht="14" x14ac:dyDescent="0.3">
      <c r="A14" s="75" t="s">
        <v>14</v>
      </c>
      <c r="B14" s="112" t="s">
        <v>5</v>
      </c>
      <c r="C14" s="144"/>
      <c r="D14" s="73"/>
      <c r="E14" s="144"/>
      <c r="F14" s="145"/>
    </row>
    <row r="15" spans="1:6" ht="14" x14ac:dyDescent="0.3">
      <c r="A15" s="140" t="s">
        <v>15</v>
      </c>
      <c r="B15" s="129" t="s">
        <v>16</v>
      </c>
      <c r="C15" s="130"/>
      <c r="D15" s="131"/>
      <c r="E15" s="19" t="s">
        <v>17</v>
      </c>
      <c r="F15" s="25" t="s">
        <v>18</v>
      </c>
    </row>
    <row r="16" spans="1:6" ht="14.25" customHeight="1" x14ac:dyDescent="0.3">
      <c r="A16" s="140"/>
      <c r="B16" s="132" t="s">
        <v>83</v>
      </c>
      <c r="C16" s="133"/>
      <c r="D16" s="134"/>
      <c r="E16" s="135"/>
      <c r="F16" s="26" t="s">
        <v>80</v>
      </c>
    </row>
    <row r="17" spans="1:6" ht="14" x14ac:dyDescent="0.3">
      <c r="A17" s="140"/>
      <c r="B17" s="132" t="s">
        <v>84</v>
      </c>
      <c r="C17" s="133"/>
      <c r="D17" s="134"/>
      <c r="E17" s="136"/>
      <c r="F17" s="27" t="s">
        <v>80</v>
      </c>
    </row>
    <row r="18" spans="1:6" ht="14" x14ac:dyDescent="0.3">
      <c r="A18" s="140"/>
      <c r="B18" s="132" t="s">
        <v>85</v>
      </c>
      <c r="C18" s="133"/>
      <c r="D18" s="134"/>
      <c r="E18" s="136"/>
      <c r="F18" s="27" t="s">
        <v>79</v>
      </c>
    </row>
    <row r="19" spans="1:6" ht="14" x14ac:dyDescent="0.3">
      <c r="A19" s="140"/>
      <c r="B19" s="132" t="s">
        <v>86</v>
      </c>
      <c r="C19" s="133"/>
      <c r="D19" s="134"/>
      <c r="E19" s="136"/>
      <c r="F19" s="27" t="s">
        <v>79</v>
      </c>
    </row>
    <row r="20" spans="1:6" ht="14" x14ac:dyDescent="0.3">
      <c r="A20" s="140"/>
      <c r="B20" s="132" t="s">
        <v>87</v>
      </c>
      <c r="C20" s="133"/>
      <c r="D20" s="134"/>
      <c r="E20" s="136"/>
      <c r="F20" s="27" t="s">
        <v>79</v>
      </c>
    </row>
    <row r="21" spans="1:6" ht="14" x14ac:dyDescent="0.3">
      <c r="A21" s="140"/>
      <c r="B21" s="93" t="s">
        <v>59</v>
      </c>
      <c r="C21" s="94"/>
      <c r="D21" s="95"/>
      <c r="E21" s="136"/>
      <c r="F21" s="27" t="s">
        <v>79</v>
      </c>
    </row>
    <row r="22" spans="1:6" ht="15" customHeight="1" x14ac:dyDescent="0.3">
      <c r="A22" s="43"/>
      <c r="B22" s="137"/>
      <c r="C22" s="138"/>
      <c r="D22" s="139"/>
      <c r="E22" s="41"/>
      <c r="F22" s="42"/>
    </row>
    <row r="23" spans="1:6" ht="14" x14ac:dyDescent="0.3">
      <c r="A23" s="140" t="s">
        <v>19</v>
      </c>
      <c r="B23" s="129" t="s">
        <v>16</v>
      </c>
      <c r="C23" s="130"/>
      <c r="D23" s="131"/>
      <c r="E23" s="19" t="s">
        <v>17</v>
      </c>
      <c r="F23" s="25" t="s">
        <v>18</v>
      </c>
    </row>
    <row r="24" spans="1:6" ht="14" x14ac:dyDescent="0.3">
      <c r="A24" s="140"/>
      <c r="B24" s="132"/>
      <c r="C24" s="133"/>
      <c r="D24" s="134"/>
      <c r="E24" s="135"/>
      <c r="F24" s="26"/>
    </row>
    <row r="25" spans="1:6" ht="14" x14ac:dyDescent="0.3">
      <c r="A25" s="140"/>
      <c r="B25" s="132"/>
      <c r="C25" s="133"/>
      <c r="D25" s="134"/>
      <c r="E25" s="136"/>
      <c r="F25" s="27"/>
    </row>
    <row r="26" spans="1:6" ht="14" x14ac:dyDescent="0.3">
      <c r="A26" s="140"/>
      <c r="B26" s="132"/>
      <c r="C26" s="133"/>
      <c r="D26" s="134"/>
      <c r="E26" s="136"/>
      <c r="F26" s="27"/>
    </row>
    <row r="27" spans="1:6" ht="14" x14ac:dyDescent="0.3">
      <c r="A27" s="140"/>
      <c r="B27" s="141"/>
      <c r="C27" s="142"/>
      <c r="D27" s="143"/>
      <c r="E27" s="136"/>
      <c r="F27" s="27"/>
    </row>
    <row r="28" spans="1:6" ht="14" x14ac:dyDescent="0.3">
      <c r="A28" s="140"/>
      <c r="B28" s="132"/>
      <c r="C28" s="133"/>
      <c r="D28" s="134"/>
      <c r="E28" s="136"/>
      <c r="F28" s="27"/>
    </row>
    <row r="29" spans="1:6" ht="14" x14ac:dyDescent="0.3">
      <c r="A29" s="105"/>
      <c r="B29" s="106"/>
      <c r="C29" s="106"/>
      <c r="D29" s="106"/>
      <c r="E29" s="106"/>
      <c r="F29" s="107"/>
    </row>
    <row r="30" spans="1:6" ht="14" x14ac:dyDescent="0.3">
      <c r="A30" s="128" t="s">
        <v>20</v>
      </c>
      <c r="B30" s="129" t="s">
        <v>16</v>
      </c>
      <c r="C30" s="130"/>
      <c r="D30" s="131"/>
      <c r="E30" s="19" t="s">
        <v>17</v>
      </c>
      <c r="F30" s="25" t="s">
        <v>18</v>
      </c>
    </row>
    <row r="31" spans="1:6" ht="14" x14ac:dyDescent="0.3">
      <c r="A31" s="128"/>
      <c r="B31" s="132"/>
      <c r="C31" s="133"/>
      <c r="D31" s="134"/>
      <c r="E31" s="135"/>
      <c r="F31" s="26"/>
    </row>
    <row r="32" spans="1:6" ht="14" x14ac:dyDescent="0.3">
      <c r="A32" s="128"/>
      <c r="B32" s="132"/>
      <c r="C32" s="133"/>
      <c r="D32" s="134"/>
      <c r="E32" s="136"/>
      <c r="F32" s="27"/>
    </row>
    <row r="33" spans="1:6" ht="14" x14ac:dyDescent="0.3">
      <c r="A33" s="128"/>
      <c r="B33" s="132"/>
      <c r="C33" s="133"/>
      <c r="D33" s="134"/>
      <c r="E33" s="136"/>
      <c r="F33" s="27"/>
    </row>
    <row r="34" spans="1:6" ht="14" x14ac:dyDescent="0.3">
      <c r="A34" s="128"/>
      <c r="B34" s="132"/>
      <c r="C34" s="133"/>
      <c r="D34" s="134"/>
      <c r="E34" s="136"/>
      <c r="F34" s="27"/>
    </row>
    <row r="35" spans="1:6" ht="14" x14ac:dyDescent="0.3">
      <c r="A35" s="128"/>
      <c r="B35" s="132"/>
      <c r="C35" s="133"/>
      <c r="D35" s="134"/>
      <c r="E35" s="136"/>
      <c r="F35" s="27"/>
    </row>
    <row r="36" spans="1:6" ht="14" x14ac:dyDescent="0.3">
      <c r="A36" s="105"/>
      <c r="B36" s="106"/>
      <c r="C36" s="106"/>
      <c r="D36" s="106"/>
      <c r="E36" s="106"/>
      <c r="F36" s="107"/>
    </row>
    <row r="37" spans="1:6" s="2" customFormat="1" ht="14" x14ac:dyDescent="0.3">
      <c r="A37" s="108"/>
      <c r="B37" s="109"/>
      <c r="C37" s="109"/>
      <c r="D37" s="109"/>
      <c r="E37" s="109"/>
      <c r="F37" s="110"/>
    </row>
    <row r="38" spans="1:6" ht="19.5" customHeight="1" x14ac:dyDescent="0.3">
      <c r="A38" s="111" t="s">
        <v>21</v>
      </c>
      <c r="B38" s="112"/>
      <c r="C38" s="44" t="s">
        <v>22</v>
      </c>
      <c r="D38" s="113" t="s">
        <v>23</v>
      </c>
      <c r="E38" s="114"/>
      <c r="F38" s="115"/>
    </row>
    <row r="39" spans="1:6" ht="14" x14ac:dyDescent="0.3">
      <c r="A39" s="21" t="s">
        <v>24</v>
      </c>
      <c r="B39" s="34"/>
      <c r="C39" s="71"/>
      <c r="D39" s="116" t="s">
        <v>25</v>
      </c>
      <c r="E39" s="117"/>
      <c r="F39" s="118"/>
    </row>
    <row r="40" spans="1:6" ht="14" x14ac:dyDescent="0.3">
      <c r="A40" s="21" t="s">
        <v>26</v>
      </c>
      <c r="B40" s="34"/>
      <c r="C40" s="72"/>
      <c r="D40" s="119"/>
      <c r="E40" s="120"/>
      <c r="F40" s="121"/>
    </row>
    <row r="41" spans="1:6" ht="14" x14ac:dyDescent="0.3">
      <c r="A41" s="21" t="s">
        <v>27</v>
      </c>
      <c r="B41" s="34"/>
      <c r="C41" s="72"/>
      <c r="D41" s="119"/>
      <c r="E41" s="120"/>
      <c r="F41" s="121"/>
    </row>
    <row r="42" spans="1:6" ht="14" x14ac:dyDescent="0.3">
      <c r="A42" s="21" t="s">
        <v>28</v>
      </c>
      <c r="B42" s="34"/>
      <c r="C42" s="72"/>
      <c r="D42" s="119"/>
      <c r="E42" s="120"/>
      <c r="F42" s="121"/>
    </row>
    <row r="43" spans="1:6" ht="14" x14ac:dyDescent="0.3">
      <c r="A43" s="21" t="s">
        <v>29</v>
      </c>
      <c r="B43" s="34"/>
      <c r="C43" s="72"/>
      <c r="D43" s="122"/>
      <c r="E43" s="123"/>
      <c r="F43" s="124"/>
    </row>
    <row r="44" spans="1:6" ht="14" x14ac:dyDescent="0.3">
      <c r="A44" s="21" t="s">
        <v>30</v>
      </c>
      <c r="B44" s="34"/>
      <c r="C44" s="7"/>
      <c r="D44" s="125"/>
      <c r="E44" s="126"/>
      <c r="F44" s="127"/>
    </row>
    <row r="45" spans="1:6" ht="14" x14ac:dyDescent="0.3">
      <c r="A45" s="21" t="s">
        <v>31</v>
      </c>
      <c r="B45" s="34"/>
      <c r="C45" s="74"/>
      <c r="D45" s="96"/>
      <c r="E45" s="97"/>
      <c r="F45" s="98"/>
    </row>
    <row r="46" spans="1:6" ht="14" x14ac:dyDescent="0.3">
      <c r="A46" s="21" t="s">
        <v>32</v>
      </c>
      <c r="B46" s="34"/>
      <c r="C46" s="74"/>
      <c r="D46" s="96"/>
      <c r="E46" s="97"/>
      <c r="F46" s="98"/>
    </row>
    <row r="47" spans="1:6" ht="14" x14ac:dyDescent="0.3">
      <c r="A47" s="21" t="s">
        <v>33</v>
      </c>
      <c r="B47" s="34"/>
      <c r="C47" s="74"/>
      <c r="D47" s="96"/>
      <c r="E47" s="97"/>
      <c r="F47" s="98"/>
    </row>
    <row r="48" spans="1:6" ht="14" x14ac:dyDescent="0.3">
      <c r="A48" s="21" t="s">
        <v>34</v>
      </c>
      <c r="B48" s="34"/>
      <c r="C48" s="74"/>
      <c r="D48" s="96"/>
      <c r="E48" s="97"/>
      <c r="F48" s="98"/>
    </row>
    <row r="49" spans="1:6" ht="14" x14ac:dyDescent="0.3">
      <c r="A49" s="99"/>
      <c r="B49" s="100"/>
      <c r="C49" s="100"/>
      <c r="D49" s="100"/>
      <c r="E49" s="100"/>
      <c r="F49" s="101"/>
    </row>
    <row r="50" spans="1:6" s="3" customFormat="1" ht="21.75" customHeight="1" x14ac:dyDescent="0.3">
      <c r="A50" s="46" t="s">
        <v>40</v>
      </c>
      <c r="B50" s="45"/>
      <c r="C50" s="45"/>
      <c r="D50" s="45"/>
      <c r="E50" s="45"/>
      <c r="F50" s="47"/>
    </row>
    <row r="51" spans="1:6" s="3" customFormat="1" ht="21.75" customHeight="1" x14ac:dyDescent="0.3">
      <c r="A51" s="28" t="s">
        <v>41</v>
      </c>
      <c r="B51" s="10" t="s">
        <v>42</v>
      </c>
      <c r="C51" s="10" t="s">
        <v>43</v>
      </c>
      <c r="D51" s="61" t="s">
        <v>44</v>
      </c>
      <c r="E51" s="62" t="s">
        <v>45</v>
      </c>
      <c r="F51" s="63" t="s">
        <v>46</v>
      </c>
    </row>
    <row r="52" spans="1:6" ht="14" x14ac:dyDescent="0.3">
      <c r="A52" s="29" t="s">
        <v>47</v>
      </c>
      <c r="B52" s="12" t="s">
        <v>48</v>
      </c>
      <c r="C52" s="12"/>
      <c r="D52" s="58"/>
      <c r="E52" s="64"/>
      <c r="F52" s="57">
        <f>D52*E52</f>
        <v>0</v>
      </c>
    </row>
    <row r="53" spans="1:6" ht="14" x14ac:dyDescent="0.3">
      <c r="A53" s="29" t="s">
        <v>49</v>
      </c>
      <c r="B53" s="12" t="s">
        <v>50</v>
      </c>
      <c r="C53" s="12"/>
      <c r="D53" s="58"/>
      <c r="E53" s="64"/>
      <c r="F53" s="57">
        <f t="shared" ref="F53:F59" si="0">D53*E53</f>
        <v>0</v>
      </c>
    </row>
    <row r="54" spans="1:6" ht="14" x14ac:dyDescent="0.3">
      <c r="A54" s="29" t="s">
        <v>51</v>
      </c>
      <c r="B54" s="12" t="s">
        <v>52</v>
      </c>
      <c r="C54" s="12"/>
      <c r="D54" s="58"/>
      <c r="E54" s="64"/>
      <c r="F54" s="57">
        <f t="shared" si="0"/>
        <v>0</v>
      </c>
    </row>
    <row r="55" spans="1:6" ht="14" x14ac:dyDescent="0.3">
      <c r="A55" s="30" t="s">
        <v>53</v>
      </c>
      <c r="B55" s="12" t="s">
        <v>54</v>
      </c>
      <c r="C55" s="12"/>
      <c r="D55" s="58"/>
      <c r="E55" s="64"/>
      <c r="F55" s="57">
        <f t="shared" si="0"/>
        <v>0</v>
      </c>
    </row>
    <row r="56" spans="1:6" ht="14" x14ac:dyDescent="0.3">
      <c r="A56" s="30" t="s">
        <v>55</v>
      </c>
      <c r="B56" s="12" t="s">
        <v>56</v>
      </c>
      <c r="C56" s="12"/>
      <c r="D56" s="58"/>
      <c r="E56" s="64"/>
      <c r="F56" s="57">
        <f t="shared" si="0"/>
        <v>0</v>
      </c>
    </row>
    <row r="57" spans="1:6" ht="14" x14ac:dyDescent="0.3">
      <c r="A57" s="30" t="s">
        <v>57</v>
      </c>
      <c r="B57" s="12" t="s">
        <v>58</v>
      </c>
      <c r="C57" s="12"/>
      <c r="D57" s="58"/>
      <c r="E57" s="64"/>
      <c r="F57" s="57">
        <f t="shared" si="0"/>
        <v>0</v>
      </c>
    </row>
    <row r="58" spans="1:6" ht="14" x14ac:dyDescent="0.3">
      <c r="A58" s="29" t="s">
        <v>59</v>
      </c>
      <c r="B58" s="12" t="s">
        <v>60</v>
      </c>
      <c r="C58" s="12"/>
      <c r="D58" s="58"/>
      <c r="E58" s="64"/>
      <c r="F58" s="57">
        <f t="shared" si="0"/>
        <v>0</v>
      </c>
    </row>
    <row r="59" spans="1:6" ht="14" x14ac:dyDescent="0.3">
      <c r="A59" s="31" t="s">
        <v>61</v>
      </c>
      <c r="B59" s="14"/>
      <c r="C59" s="15"/>
      <c r="D59" s="65"/>
      <c r="E59" s="64"/>
      <c r="F59" s="57">
        <f t="shared" si="0"/>
        <v>0</v>
      </c>
    </row>
    <row r="60" spans="1:6" ht="15" customHeight="1" x14ac:dyDescent="0.3">
      <c r="A60" s="50"/>
      <c r="B60" s="49"/>
      <c r="C60" s="48"/>
      <c r="D60" s="51"/>
      <c r="E60" s="66" t="s">
        <v>62</v>
      </c>
      <c r="F60" s="67">
        <f>SUM(F52:F59)</f>
        <v>0</v>
      </c>
    </row>
    <row r="61" spans="1:6" ht="15" customHeight="1" x14ac:dyDescent="0.3">
      <c r="A61" s="102"/>
      <c r="B61" s="103"/>
      <c r="C61" s="103"/>
      <c r="D61" s="103"/>
      <c r="E61" s="103"/>
      <c r="F61" s="104"/>
    </row>
    <row r="62" spans="1:6" s="4" customFormat="1" ht="15" customHeight="1" x14ac:dyDescent="0.3">
      <c r="A62" s="86" t="s">
        <v>67</v>
      </c>
      <c r="B62" s="87"/>
      <c r="C62" s="87"/>
      <c r="D62" s="87"/>
      <c r="E62" s="87"/>
      <c r="F62" s="88"/>
    </row>
    <row r="63" spans="1:6" ht="19.5" customHeight="1" x14ac:dyDescent="0.3">
      <c r="A63" s="89" t="s">
        <v>66</v>
      </c>
      <c r="B63" s="90"/>
      <c r="C63" s="90"/>
      <c r="D63" s="90"/>
      <c r="E63" s="90"/>
      <c r="F63" s="91"/>
    </row>
    <row r="64" spans="1:6" ht="15" customHeight="1" x14ac:dyDescent="0.3">
      <c r="A64" s="32" t="s">
        <v>35</v>
      </c>
      <c r="B64" s="11" t="s">
        <v>63</v>
      </c>
      <c r="C64" s="20" t="s">
        <v>17</v>
      </c>
      <c r="D64" s="10" t="s">
        <v>64</v>
      </c>
      <c r="E64" s="16" t="s">
        <v>36</v>
      </c>
      <c r="F64" s="33" t="s">
        <v>37</v>
      </c>
    </row>
    <row r="65" spans="1:6" ht="14" x14ac:dyDescent="0.3">
      <c r="A65" s="30" t="s">
        <v>15</v>
      </c>
      <c r="B65" s="13">
        <v>235</v>
      </c>
      <c r="C65" s="12"/>
      <c r="D65" s="12"/>
      <c r="E65" s="58">
        <v>235</v>
      </c>
      <c r="F65" s="57">
        <f>B65-E65</f>
        <v>0</v>
      </c>
    </row>
    <row r="66" spans="1:6" ht="14" x14ac:dyDescent="0.3">
      <c r="A66" s="30" t="s">
        <v>19</v>
      </c>
      <c r="B66" s="13"/>
      <c r="C66" s="12"/>
      <c r="D66" s="12"/>
      <c r="E66" s="58"/>
      <c r="F66" s="57">
        <f t="shared" ref="F66:F68" si="1">B66-E66</f>
        <v>0</v>
      </c>
    </row>
    <row r="67" spans="1:6" ht="14" x14ac:dyDescent="0.3">
      <c r="A67" s="30" t="s">
        <v>20</v>
      </c>
      <c r="B67" s="13"/>
      <c r="C67" s="12"/>
      <c r="D67" s="12"/>
      <c r="E67" s="58"/>
      <c r="F67" s="57">
        <f t="shared" si="1"/>
        <v>0</v>
      </c>
    </row>
    <row r="68" spans="1:6" ht="14" x14ac:dyDescent="0.3">
      <c r="A68" s="30" t="s">
        <v>65</v>
      </c>
      <c r="B68" s="13">
        <f>F60</f>
        <v>0</v>
      </c>
      <c r="C68" s="56"/>
      <c r="D68" s="12"/>
      <c r="E68" s="58"/>
      <c r="F68" s="57">
        <f t="shared" si="1"/>
        <v>0</v>
      </c>
    </row>
    <row r="69" spans="1:6" s="5" customFormat="1" ht="18.75" customHeight="1" x14ac:dyDescent="0.35">
      <c r="A69" s="55" t="s">
        <v>38</v>
      </c>
      <c r="B69" s="54"/>
      <c r="C69" s="53"/>
      <c r="D69" s="52"/>
      <c r="E69" s="59">
        <f>SUM(E65:E68)</f>
        <v>235</v>
      </c>
      <c r="F69" s="60">
        <f>SUM(F65:F68)</f>
        <v>0</v>
      </c>
    </row>
    <row r="70" spans="1:6" ht="15" customHeight="1" x14ac:dyDescent="0.3">
      <c r="A70" s="92" t="s">
        <v>39</v>
      </c>
      <c r="B70" s="92"/>
      <c r="C70" s="92"/>
      <c r="D70" s="92"/>
      <c r="E70" s="92"/>
      <c r="F70" s="92"/>
    </row>
    <row r="71" spans="1:6" ht="15" customHeight="1" x14ac:dyDescent="0.3">
      <c r="A71" s="92"/>
      <c r="B71" s="92"/>
      <c r="C71" s="92"/>
      <c r="D71" s="92"/>
      <c r="E71" s="92"/>
      <c r="F71" s="92"/>
    </row>
    <row r="72" spans="1:6" ht="15" customHeight="1" x14ac:dyDescent="0.3">
      <c r="A72" s="92"/>
      <c r="B72" s="92"/>
      <c r="C72" s="92"/>
      <c r="D72" s="92"/>
      <c r="E72" s="92"/>
      <c r="F72" s="92"/>
    </row>
    <row r="73" spans="1:6" ht="15" customHeight="1" x14ac:dyDescent="0.3">
      <c r="A73" s="92"/>
      <c r="B73" s="92"/>
      <c r="C73" s="92"/>
      <c r="D73" s="92"/>
      <c r="E73" s="92"/>
      <c r="F73" s="92"/>
    </row>
    <row r="74" spans="1:6" ht="15" customHeight="1" x14ac:dyDescent="0.3">
      <c r="A74" s="92"/>
      <c r="B74" s="92"/>
      <c r="C74" s="92"/>
      <c r="D74" s="92"/>
      <c r="E74" s="92"/>
      <c r="F74" s="92"/>
    </row>
    <row r="75" spans="1:6" ht="15" customHeight="1" x14ac:dyDescent="0.3">
      <c r="A75" s="92"/>
      <c r="B75" s="92"/>
      <c r="C75" s="92"/>
      <c r="D75" s="92"/>
      <c r="E75" s="92"/>
      <c r="F75" s="92"/>
    </row>
    <row r="76" spans="1:6" ht="15" customHeight="1" x14ac:dyDescent="0.3">
      <c r="A76" s="92"/>
      <c r="B76" s="92"/>
      <c r="C76" s="92"/>
      <c r="D76" s="92"/>
      <c r="E76" s="92"/>
      <c r="F76" s="92"/>
    </row>
    <row r="77" spans="1:6" ht="15" customHeight="1" x14ac:dyDescent="0.3">
      <c r="A77" s="92"/>
      <c r="B77" s="92"/>
      <c r="C77" s="92"/>
      <c r="D77" s="92"/>
      <c r="E77" s="92"/>
      <c r="F77" s="92"/>
    </row>
    <row r="78" spans="1:6" ht="14" x14ac:dyDescent="0.3">
      <c r="A78" s="92"/>
      <c r="B78" s="92"/>
      <c r="C78" s="92"/>
      <c r="D78" s="92"/>
      <c r="E78" s="92"/>
      <c r="F78" s="92"/>
    </row>
    <row r="79" spans="1:6" ht="14" x14ac:dyDescent="0.3">
      <c r="A79" s="92"/>
      <c r="B79" s="92"/>
      <c r="C79" s="92"/>
      <c r="D79" s="92"/>
      <c r="E79" s="92"/>
      <c r="F79" s="92"/>
    </row>
    <row r="80" spans="1:6" ht="14" x14ac:dyDescent="0.3">
      <c r="A80" s="92"/>
      <c r="B80" s="92"/>
      <c r="C80" s="92"/>
      <c r="D80" s="92"/>
      <c r="E80" s="92"/>
      <c r="F80" s="92"/>
    </row>
    <row r="81" spans="1:6" ht="14" x14ac:dyDescent="0.3">
      <c r="A81" s="92"/>
      <c r="B81" s="92"/>
      <c r="C81" s="92"/>
      <c r="D81" s="92"/>
      <c r="E81" s="92"/>
      <c r="F81" s="92"/>
    </row>
    <row r="82" spans="1:6" ht="14" x14ac:dyDescent="0.3">
      <c r="A82" s="92"/>
      <c r="B82" s="92"/>
      <c r="C82" s="92"/>
      <c r="D82" s="92"/>
      <c r="E82" s="92"/>
      <c r="F82" s="92"/>
    </row>
    <row r="83" spans="1:6" ht="15" customHeight="1" x14ac:dyDescent="0.3">
      <c r="A83" s="92"/>
      <c r="B83" s="92"/>
      <c r="C83" s="92"/>
      <c r="D83" s="92"/>
      <c r="E83" s="92"/>
      <c r="F83" s="92"/>
    </row>
    <row r="84" spans="1:6" ht="15" customHeight="1" x14ac:dyDescent="0.3">
      <c r="A84" s="92"/>
      <c r="B84" s="92"/>
      <c r="C84" s="92"/>
      <c r="D84" s="92"/>
      <c r="E84" s="92"/>
      <c r="F84" s="92"/>
    </row>
    <row r="85" spans="1:6" ht="15" customHeight="1" x14ac:dyDescent="0.3">
      <c r="A85" s="92"/>
      <c r="B85" s="92"/>
      <c r="C85" s="92"/>
      <c r="D85" s="92"/>
      <c r="E85" s="92"/>
      <c r="F85" s="92"/>
    </row>
    <row r="86" spans="1:6" ht="15" customHeight="1" x14ac:dyDescent="0.3">
      <c r="A86" s="92"/>
      <c r="B86" s="92"/>
      <c r="C86" s="92"/>
      <c r="D86" s="92"/>
      <c r="E86" s="92"/>
      <c r="F86" s="92"/>
    </row>
    <row r="87" spans="1:6" ht="15" customHeight="1" x14ac:dyDescent="0.3">
      <c r="A87" s="92"/>
      <c r="B87" s="92"/>
      <c r="C87" s="92"/>
      <c r="D87" s="92"/>
      <c r="E87" s="92"/>
      <c r="F87" s="92"/>
    </row>
    <row r="88" spans="1:6" ht="15" customHeight="1" x14ac:dyDescent="0.3">
      <c r="A88" s="92"/>
      <c r="B88" s="92"/>
      <c r="C88" s="92"/>
      <c r="D88" s="92"/>
      <c r="E88" s="92"/>
      <c r="F88" s="92"/>
    </row>
    <row r="89" spans="1:6" ht="15" customHeight="1" x14ac:dyDescent="0.3">
      <c r="A89" s="92"/>
      <c r="B89" s="92"/>
      <c r="C89" s="92"/>
      <c r="D89" s="92"/>
      <c r="E89" s="92"/>
      <c r="F89" s="92"/>
    </row>
  </sheetData>
  <mergeCells count="56">
    <mergeCell ref="A13:F13"/>
    <mergeCell ref="A1:F1"/>
    <mergeCell ref="A2:F3"/>
    <mergeCell ref="B4:F4"/>
    <mergeCell ref="B5:F5"/>
    <mergeCell ref="B7:C7"/>
    <mergeCell ref="E7:F7"/>
    <mergeCell ref="E8:F8"/>
    <mergeCell ref="B9:C9"/>
    <mergeCell ref="D9:E9"/>
    <mergeCell ref="A11:F11"/>
    <mergeCell ref="A12:F12"/>
    <mergeCell ref="B14:C14"/>
    <mergeCell ref="E14:F14"/>
    <mergeCell ref="A15:A21"/>
    <mergeCell ref="B15:D15"/>
    <mergeCell ref="B16:D16"/>
    <mergeCell ref="E16:E21"/>
    <mergeCell ref="B17:D17"/>
    <mergeCell ref="B18:D18"/>
    <mergeCell ref="B19:D19"/>
    <mergeCell ref="B20:D20"/>
    <mergeCell ref="B22:D22"/>
    <mergeCell ref="A23:A28"/>
    <mergeCell ref="B23:D23"/>
    <mergeCell ref="B24:D24"/>
    <mergeCell ref="E24:E28"/>
    <mergeCell ref="B25:D25"/>
    <mergeCell ref="B26:D26"/>
    <mergeCell ref="B27:D27"/>
    <mergeCell ref="B28:D28"/>
    <mergeCell ref="A29:F29"/>
    <mergeCell ref="A30:A35"/>
    <mergeCell ref="B30:D30"/>
    <mergeCell ref="B31:D31"/>
    <mergeCell ref="E31:E35"/>
    <mergeCell ref="B32:D32"/>
    <mergeCell ref="B33:D33"/>
    <mergeCell ref="B34:D34"/>
    <mergeCell ref="B35:D35"/>
    <mergeCell ref="A62:F62"/>
    <mergeCell ref="A63:F63"/>
    <mergeCell ref="A70:F89"/>
    <mergeCell ref="B21:D21"/>
    <mergeCell ref="D45:F45"/>
    <mergeCell ref="D46:F46"/>
    <mergeCell ref="D47:F47"/>
    <mergeCell ref="D48:F48"/>
    <mergeCell ref="A49:F49"/>
    <mergeCell ref="A61:F61"/>
    <mergeCell ref="A36:F36"/>
    <mergeCell ref="A37:F37"/>
    <mergeCell ref="A38:B38"/>
    <mergeCell ref="D38:F38"/>
    <mergeCell ref="D39:F43"/>
    <mergeCell ref="D44:F44"/>
  </mergeCells>
  <printOptions horizontalCentered="1"/>
  <pageMargins left="0.25" right="0.25" top="0.75" bottom="0.75" header="0.3" footer="0.3"/>
  <pageSetup paperSize="9" scale="67"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1</xdr:col>
                    <xdr:colOff>806450</xdr:colOff>
                    <xdr:row>7</xdr:row>
                    <xdr:rowOff>6350</xdr:rowOff>
                  </from>
                  <to>
                    <xdr:col>1</xdr:col>
                    <xdr:colOff>977900</xdr:colOff>
                    <xdr:row>8</xdr:row>
                    <xdr:rowOff>6350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1</xdr:col>
                    <xdr:colOff>527050</xdr:colOff>
                    <xdr:row>37</xdr:row>
                    <xdr:rowOff>222250</xdr:rowOff>
                  </from>
                  <to>
                    <xdr:col>2</xdr:col>
                    <xdr:colOff>6350</xdr:colOff>
                    <xdr:row>39</xdr:row>
                    <xdr:rowOff>12700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1</xdr:col>
                    <xdr:colOff>527050</xdr:colOff>
                    <xdr:row>38</xdr:row>
                    <xdr:rowOff>146050</xdr:rowOff>
                  </from>
                  <to>
                    <xdr:col>1</xdr:col>
                    <xdr:colOff>1225550</xdr:colOff>
                    <xdr:row>40</xdr:row>
                    <xdr:rowOff>6350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1</xdr:col>
                    <xdr:colOff>527050</xdr:colOff>
                    <xdr:row>40</xdr:row>
                    <xdr:rowOff>165100</xdr:rowOff>
                  </from>
                  <to>
                    <xdr:col>2</xdr:col>
                    <xdr:colOff>6350</xdr:colOff>
                    <xdr:row>42</xdr:row>
                    <xdr:rowOff>31750</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1</xdr:col>
                    <xdr:colOff>527050</xdr:colOff>
                    <xdr:row>41</xdr:row>
                    <xdr:rowOff>152400</xdr:rowOff>
                  </from>
                  <to>
                    <xdr:col>2</xdr:col>
                    <xdr:colOff>0</xdr:colOff>
                    <xdr:row>43</xdr:row>
                    <xdr:rowOff>25400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1</xdr:col>
                    <xdr:colOff>527050</xdr:colOff>
                    <xdr:row>42</xdr:row>
                    <xdr:rowOff>165100</xdr:rowOff>
                  </from>
                  <to>
                    <xdr:col>2</xdr:col>
                    <xdr:colOff>0</xdr:colOff>
                    <xdr:row>44</xdr:row>
                    <xdr:rowOff>31750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xdr:col>
                    <xdr:colOff>527050</xdr:colOff>
                    <xdr:row>43</xdr:row>
                    <xdr:rowOff>165100</xdr:rowOff>
                  </from>
                  <to>
                    <xdr:col>2</xdr:col>
                    <xdr:colOff>0</xdr:colOff>
                    <xdr:row>45</xdr:row>
                    <xdr:rowOff>31750</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1</xdr:col>
                    <xdr:colOff>527050</xdr:colOff>
                    <xdr:row>44</xdr:row>
                    <xdr:rowOff>165100</xdr:rowOff>
                  </from>
                  <to>
                    <xdr:col>2</xdr:col>
                    <xdr:colOff>0</xdr:colOff>
                    <xdr:row>46</xdr:row>
                    <xdr:rowOff>31750</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1</xdr:col>
                    <xdr:colOff>533400</xdr:colOff>
                    <xdr:row>45</xdr:row>
                    <xdr:rowOff>158750</xdr:rowOff>
                  </from>
                  <to>
                    <xdr:col>2</xdr:col>
                    <xdr:colOff>0</xdr:colOff>
                    <xdr:row>47</xdr:row>
                    <xdr:rowOff>25400</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1</xdr:col>
                    <xdr:colOff>527050</xdr:colOff>
                    <xdr:row>46</xdr:row>
                    <xdr:rowOff>152400</xdr:rowOff>
                  </from>
                  <to>
                    <xdr:col>1</xdr:col>
                    <xdr:colOff>1225550</xdr:colOff>
                    <xdr:row>48</xdr:row>
                    <xdr:rowOff>25400</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1</xdr:col>
                    <xdr:colOff>527050</xdr:colOff>
                    <xdr:row>39</xdr:row>
                    <xdr:rowOff>158750</xdr:rowOff>
                  </from>
                  <to>
                    <xdr:col>2</xdr:col>
                    <xdr:colOff>6350</xdr:colOff>
                    <xdr:row>41</xdr:row>
                    <xdr:rowOff>25400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2</xdr:col>
                    <xdr:colOff>850900</xdr:colOff>
                    <xdr:row>6</xdr:row>
                    <xdr:rowOff>165100</xdr:rowOff>
                  </from>
                  <to>
                    <xdr:col>2</xdr:col>
                    <xdr:colOff>1555750</xdr:colOff>
                    <xdr:row>8</xdr:row>
                    <xdr:rowOff>31750</xdr:rowOff>
                  </to>
                </anchor>
              </controlPr>
            </control>
          </mc:Choice>
        </mc:AlternateContent>
        <mc:AlternateContent xmlns:mc="http://schemas.openxmlformats.org/markup-compatibility/2006">
          <mc:Choice Requires="x14">
            <control shapeId="8206" r:id="rId16" name="Check Box 14">
              <controlPr defaultSize="0" autoFill="0" autoLine="0" autoPict="0">
                <anchor moveWithCells="1">
                  <from>
                    <xdr:col>1</xdr:col>
                    <xdr:colOff>254000</xdr:colOff>
                    <xdr:row>8</xdr:row>
                    <xdr:rowOff>158750</xdr:rowOff>
                  </from>
                  <to>
                    <xdr:col>1</xdr:col>
                    <xdr:colOff>958850</xdr:colOff>
                    <xdr:row>10</xdr:row>
                    <xdr:rowOff>19050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K85"/>
  <sheetViews>
    <sheetView topLeftCell="A2" zoomScale="55" zoomScaleNormal="55" workbookViewId="0">
      <selection activeCell="I7" sqref="I7"/>
    </sheetView>
  </sheetViews>
  <sheetFormatPr defaultColWidth="8.90625" defaultRowHeight="14.5" x14ac:dyDescent="0.35"/>
  <cols>
    <col min="1" max="1" width="6.7265625" style="176" customWidth="1"/>
    <col min="2" max="2" width="93.90625" style="38" customWidth="1"/>
    <col min="3" max="3" width="38.54296875" style="37" customWidth="1"/>
    <col min="4" max="4" width="59.1796875" style="38" customWidth="1"/>
    <col min="5" max="5" width="13.81640625" style="38" customWidth="1"/>
    <col min="6" max="6" width="7.36328125" style="38" customWidth="1"/>
    <col min="7" max="7" width="8.1796875" style="196" customWidth="1"/>
    <col min="8" max="8" width="11.90625" style="196" customWidth="1"/>
    <col min="9" max="9" width="16.90625" style="38" customWidth="1"/>
    <col min="10" max="16384" width="8.90625" style="38"/>
  </cols>
  <sheetData>
    <row r="1" spans="1:11" ht="17" customHeight="1" x14ac:dyDescent="0.35">
      <c r="A1" s="178" t="s">
        <v>75</v>
      </c>
      <c r="B1" s="80" t="s">
        <v>68</v>
      </c>
      <c r="C1" s="185" t="s">
        <v>91</v>
      </c>
      <c r="D1" s="80" t="s">
        <v>69</v>
      </c>
      <c r="E1" s="80" t="s">
        <v>70</v>
      </c>
      <c r="F1" s="80" t="s">
        <v>71</v>
      </c>
      <c r="G1" s="192" t="s">
        <v>72</v>
      </c>
      <c r="H1" s="199" t="s">
        <v>73</v>
      </c>
      <c r="I1" s="36"/>
      <c r="J1" s="36"/>
      <c r="K1" s="37"/>
    </row>
    <row r="2" spans="1:11" ht="17" customHeight="1" x14ac:dyDescent="0.35">
      <c r="A2" s="179">
        <v>1</v>
      </c>
      <c r="B2" s="81" t="s">
        <v>92</v>
      </c>
      <c r="C2" s="76" t="s">
        <v>93</v>
      </c>
      <c r="D2" s="76" t="s">
        <v>135</v>
      </c>
      <c r="E2" s="77" t="s">
        <v>74</v>
      </c>
      <c r="F2" s="76">
        <v>1</v>
      </c>
      <c r="G2" s="193">
        <v>15.45</v>
      </c>
      <c r="H2" s="200">
        <f t="shared" ref="H2:H30" si="0">F2*G2</f>
        <v>15.45</v>
      </c>
      <c r="I2" s="39"/>
      <c r="J2" s="39"/>
      <c r="K2" s="37"/>
    </row>
    <row r="3" spans="1:11" ht="17" customHeight="1" x14ac:dyDescent="0.35">
      <c r="A3" s="179">
        <v>2</v>
      </c>
      <c r="B3" s="81" t="s">
        <v>94</v>
      </c>
      <c r="C3" s="76" t="s">
        <v>88</v>
      </c>
      <c r="D3" s="76" t="s">
        <v>136</v>
      </c>
      <c r="E3" s="35" t="s">
        <v>74</v>
      </c>
      <c r="F3" s="76">
        <v>1</v>
      </c>
      <c r="G3" s="193">
        <v>0.33</v>
      </c>
      <c r="H3" s="200">
        <f t="shared" si="0"/>
        <v>0.33</v>
      </c>
      <c r="I3" s="39"/>
      <c r="J3" s="39"/>
      <c r="K3" s="37"/>
    </row>
    <row r="4" spans="1:11" ht="17" customHeight="1" x14ac:dyDescent="0.35">
      <c r="A4" s="179">
        <v>3</v>
      </c>
      <c r="B4" s="81" t="s">
        <v>95</v>
      </c>
      <c r="C4" s="76" t="s">
        <v>96</v>
      </c>
      <c r="D4" s="76" t="s">
        <v>150</v>
      </c>
      <c r="E4" s="35" t="s">
        <v>74</v>
      </c>
      <c r="F4" s="76">
        <v>1</v>
      </c>
      <c r="G4" s="193">
        <v>3.15</v>
      </c>
      <c r="H4" s="200">
        <f t="shared" si="0"/>
        <v>3.15</v>
      </c>
      <c r="I4" s="39"/>
      <c r="J4" s="39"/>
      <c r="K4" s="37"/>
    </row>
    <row r="5" spans="1:11" ht="17" customHeight="1" x14ac:dyDescent="0.35">
      <c r="A5" s="179">
        <v>4</v>
      </c>
      <c r="B5" s="81" t="s">
        <v>95</v>
      </c>
      <c r="C5" s="76" t="s">
        <v>97</v>
      </c>
      <c r="D5" s="76" t="s">
        <v>150</v>
      </c>
      <c r="E5" s="35" t="s">
        <v>74</v>
      </c>
      <c r="F5" s="76">
        <v>1</v>
      </c>
      <c r="G5" s="193">
        <v>3.36</v>
      </c>
      <c r="H5" s="200">
        <f t="shared" si="0"/>
        <v>3.36</v>
      </c>
      <c r="I5" s="39"/>
      <c r="J5" s="39"/>
      <c r="K5" s="37"/>
    </row>
    <row r="6" spans="1:11" ht="17" customHeight="1" x14ac:dyDescent="0.35">
      <c r="A6" s="179">
        <v>5</v>
      </c>
      <c r="B6" s="81" t="s">
        <v>95</v>
      </c>
      <c r="C6" s="76" t="s">
        <v>98</v>
      </c>
      <c r="D6" s="76" t="s">
        <v>150</v>
      </c>
      <c r="E6" s="35" t="s">
        <v>74</v>
      </c>
      <c r="F6" s="76">
        <v>1</v>
      </c>
      <c r="G6" s="193">
        <v>3.18</v>
      </c>
      <c r="H6" s="200">
        <f t="shared" si="0"/>
        <v>3.18</v>
      </c>
      <c r="I6" s="37"/>
      <c r="J6" s="37"/>
      <c r="K6" s="37"/>
    </row>
    <row r="7" spans="1:11" ht="17" customHeight="1" x14ac:dyDescent="0.35">
      <c r="A7" s="179">
        <v>6</v>
      </c>
      <c r="B7" s="81" t="s">
        <v>99</v>
      </c>
      <c r="C7" s="76" t="s">
        <v>100</v>
      </c>
      <c r="D7" s="76" t="s">
        <v>137</v>
      </c>
      <c r="E7" s="35" t="s">
        <v>74</v>
      </c>
      <c r="F7" s="76">
        <v>1</v>
      </c>
      <c r="G7" s="193">
        <v>1.65</v>
      </c>
      <c r="H7" s="200">
        <f t="shared" si="0"/>
        <v>1.65</v>
      </c>
    </row>
    <row r="8" spans="1:11" ht="17" customHeight="1" x14ac:dyDescent="0.35">
      <c r="A8" s="179">
        <v>7</v>
      </c>
      <c r="B8" s="81" t="s">
        <v>101</v>
      </c>
      <c r="C8" s="76" t="s">
        <v>102</v>
      </c>
      <c r="D8" s="76" t="s">
        <v>138</v>
      </c>
      <c r="E8" s="35" t="s">
        <v>74</v>
      </c>
      <c r="F8" s="76">
        <v>2</v>
      </c>
      <c r="G8" s="193">
        <v>1.61</v>
      </c>
      <c r="H8" s="200">
        <f t="shared" si="0"/>
        <v>3.22</v>
      </c>
    </row>
    <row r="9" spans="1:11" ht="17" customHeight="1" x14ac:dyDescent="0.35">
      <c r="A9" s="179">
        <v>8</v>
      </c>
      <c r="B9" s="81" t="s">
        <v>103</v>
      </c>
      <c r="C9" s="76" t="s">
        <v>104</v>
      </c>
      <c r="D9" s="76" t="s">
        <v>139</v>
      </c>
      <c r="E9" s="35" t="s">
        <v>74</v>
      </c>
      <c r="F9" s="76">
        <v>2</v>
      </c>
      <c r="G9" s="193">
        <v>1.76</v>
      </c>
      <c r="H9" s="200">
        <f t="shared" si="0"/>
        <v>3.52</v>
      </c>
    </row>
    <row r="10" spans="1:11" ht="17" customHeight="1" x14ac:dyDescent="0.35">
      <c r="A10" s="179">
        <v>9</v>
      </c>
      <c r="B10" s="81" t="s">
        <v>105</v>
      </c>
      <c r="C10" s="76" t="s">
        <v>106</v>
      </c>
      <c r="D10" s="76" t="s">
        <v>151</v>
      </c>
      <c r="E10" s="35" t="s">
        <v>74</v>
      </c>
      <c r="F10" s="76">
        <v>1</v>
      </c>
      <c r="G10" s="193">
        <v>40.11</v>
      </c>
      <c r="H10" s="200">
        <f t="shared" si="0"/>
        <v>40.11</v>
      </c>
    </row>
    <row r="11" spans="1:11" ht="17" customHeight="1" x14ac:dyDescent="0.35">
      <c r="A11" s="179">
        <v>10</v>
      </c>
      <c r="B11" s="81" t="s">
        <v>107</v>
      </c>
      <c r="C11" s="76" t="s">
        <v>108</v>
      </c>
      <c r="D11" s="76" t="s">
        <v>140</v>
      </c>
      <c r="E11" s="35" t="s">
        <v>74</v>
      </c>
      <c r="F11" s="76">
        <v>1</v>
      </c>
      <c r="G11" s="193">
        <v>1.79</v>
      </c>
      <c r="H11" s="200">
        <f t="shared" si="0"/>
        <v>1.79</v>
      </c>
    </row>
    <row r="12" spans="1:11" ht="17" customHeight="1" x14ac:dyDescent="0.35">
      <c r="A12" s="179">
        <v>11</v>
      </c>
      <c r="B12" s="81" t="s">
        <v>109</v>
      </c>
      <c r="C12" s="76" t="s">
        <v>110</v>
      </c>
      <c r="D12" s="76" t="s">
        <v>141</v>
      </c>
      <c r="E12" s="35" t="s">
        <v>74</v>
      </c>
      <c r="F12" s="76">
        <v>1</v>
      </c>
      <c r="G12" s="193">
        <v>3.98</v>
      </c>
      <c r="H12" s="200">
        <f t="shared" si="0"/>
        <v>3.98</v>
      </c>
    </row>
    <row r="13" spans="1:11" ht="17" customHeight="1" x14ac:dyDescent="0.35">
      <c r="A13" s="179">
        <v>12</v>
      </c>
      <c r="B13" s="81" t="s">
        <v>111</v>
      </c>
      <c r="C13" s="76" t="s">
        <v>112</v>
      </c>
      <c r="D13" s="76" t="s">
        <v>142</v>
      </c>
      <c r="E13" s="35" t="s">
        <v>74</v>
      </c>
      <c r="F13" s="76">
        <v>1</v>
      </c>
      <c r="G13" s="193">
        <v>2.71</v>
      </c>
      <c r="H13" s="200">
        <f t="shared" si="0"/>
        <v>2.71</v>
      </c>
    </row>
    <row r="14" spans="1:11" ht="17" customHeight="1" x14ac:dyDescent="0.35">
      <c r="A14" s="179">
        <v>13</v>
      </c>
      <c r="B14" s="81" t="s">
        <v>113</v>
      </c>
      <c r="C14" s="76" t="s">
        <v>114</v>
      </c>
      <c r="D14" s="76" t="s">
        <v>143</v>
      </c>
      <c r="E14" s="35" t="s">
        <v>74</v>
      </c>
      <c r="F14" s="76">
        <v>1</v>
      </c>
      <c r="G14" s="193">
        <v>1.91</v>
      </c>
      <c r="H14" s="200">
        <f t="shared" si="0"/>
        <v>1.91</v>
      </c>
    </row>
    <row r="15" spans="1:11" ht="17" customHeight="1" x14ac:dyDescent="0.35">
      <c r="A15" s="179">
        <v>14</v>
      </c>
      <c r="B15" s="81" t="s">
        <v>115</v>
      </c>
      <c r="C15" s="76" t="s">
        <v>116</v>
      </c>
      <c r="D15" s="76" t="s">
        <v>144</v>
      </c>
      <c r="E15" s="35" t="s">
        <v>74</v>
      </c>
      <c r="F15" s="76">
        <v>2</v>
      </c>
      <c r="G15" s="193">
        <v>1.72</v>
      </c>
      <c r="H15" s="200">
        <f t="shared" si="0"/>
        <v>3.44</v>
      </c>
    </row>
    <row r="16" spans="1:11" ht="17" customHeight="1" x14ac:dyDescent="0.35">
      <c r="A16" s="179">
        <v>15</v>
      </c>
      <c r="B16" s="81" t="s">
        <v>117</v>
      </c>
      <c r="C16" s="76" t="s">
        <v>118</v>
      </c>
      <c r="D16" s="76" t="s">
        <v>145</v>
      </c>
      <c r="E16" s="35" t="s">
        <v>74</v>
      </c>
      <c r="F16" s="76">
        <v>1</v>
      </c>
      <c r="G16" s="193">
        <v>4.05</v>
      </c>
      <c r="H16" s="200">
        <f t="shared" si="0"/>
        <v>4.05</v>
      </c>
    </row>
    <row r="17" spans="1:8" ht="17" customHeight="1" x14ac:dyDescent="0.35">
      <c r="A17" s="179">
        <v>16</v>
      </c>
      <c r="B17" s="81" t="s">
        <v>119</v>
      </c>
      <c r="C17" s="76" t="s">
        <v>120</v>
      </c>
      <c r="D17" s="76" t="s">
        <v>146</v>
      </c>
      <c r="E17" s="35" t="s">
        <v>74</v>
      </c>
      <c r="F17" s="76">
        <v>1</v>
      </c>
      <c r="G17" s="193">
        <v>27.8</v>
      </c>
      <c r="H17" s="200">
        <f t="shared" si="0"/>
        <v>27.8</v>
      </c>
    </row>
    <row r="18" spans="1:8" ht="17" customHeight="1" x14ac:dyDescent="0.35">
      <c r="A18" s="179">
        <v>17</v>
      </c>
      <c r="B18" s="81" t="s">
        <v>121</v>
      </c>
      <c r="C18" s="76" t="s">
        <v>122</v>
      </c>
      <c r="D18" s="76" t="s">
        <v>147</v>
      </c>
      <c r="E18" s="35" t="s">
        <v>74</v>
      </c>
      <c r="F18" s="76">
        <v>2</v>
      </c>
      <c r="G18" s="193">
        <v>3.51</v>
      </c>
      <c r="H18" s="200">
        <f t="shared" si="0"/>
        <v>7.02</v>
      </c>
    </row>
    <row r="19" spans="1:8" s="84" customFormat="1" ht="17" customHeight="1" x14ac:dyDescent="0.35">
      <c r="A19" s="180">
        <v>18</v>
      </c>
      <c r="B19" s="181" t="s">
        <v>152</v>
      </c>
      <c r="C19" s="177" t="s">
        <v>153</v>
      </c>
      <c r="D19" s="177" t="s">
        <v>154</v>
      </c>
      <c r="E19" s="83" t="s">
        <v>74</v>
      </c>
      <c r="F19" s="177">
        <v>2</v>
      </c>
      <c r="G19" s="194">
        <v>2.2599999999999998</v>
      </c>
      <c r="H19" s="200">
        <f t="shared" si="0"/>
        <v>4.5199999999999996</v>
      </c>
    </row>
    <row r="20" spans="1:8" ht="17" customHeight="1" x14ac:dyDescent="0.35">
      <c r="A20" s="179">
        <v>19</v>
      </c>
      <c r="B20" s="81" t="s">
        <v>123</v>
      </c>
      <c r="C20" s="76" t="s">
        <v>124</v>
      </c>
      <c r="D20" s="76" t="s">
        <v>148</v>
      </c>
      <c r="E20" s="35" t="s">
        <v>74</v>
      </c>
      <c r="F20" s="76">
        <v>4</v>
      </c>
      <c r="G20" s="193">
        <v>1.58</v>
      </c>
      <c r="H20" s="200">
        <f t="shared" si="0"/>
        <v>6.32</v>
      </c>
    </row>
    <row r="21" spans="1:8" ht="17" customHeight="1" x14ac:dyDescent="0.35">
      <c r="A21" s="179">
        <v>20</v>
      </c>
      <c r="B21" s="81" t="s">
        <v>125</v>
      </c>
      <c r="C21" s="76" t="s">
        <v>126</v>
      </c>
      <c r="D21" s="76" t="s">
        <v>89</v>
      </c>
      <c r="E21" s="35" t="s">
        <v>74</v>
      </c>
      <c r="F21" s="76">
        <v>2</v>
      </c>
      <c r="G21" s="193">
        <v>45</v>
      </c>
      <c r="H21" s="200">
        <f t="shared" si="0"/>
        <v>90</v>
      </c>
    </row>
    <row r="22" spans="1:8" ht="17" customHeight="1" x14ac:dyDescent="0.35">
      <c r="A22" s="179">
        <v>21</v>
      </c>
      <c r="B22" s="81" t="s">
        <v>127</v>
      </c>
      <c r="C22" s="76" t="s">
        <v>128</v>
      </c>
      <c r="D22" s="76" t="s">
        <v>149</v>
      </c>
      <c r="E22" s="35" t="s">
        <v>74</v>
      </c>
      <c r="F22" s="76">
        <v>1</v>
      </c>
      <c r="G22" s="193">
        <v>2.25</v>
      </c>
      <c r="H22" s="200">
        <f t="shared" si="0"/>
        <v>2.25</v>
      </c>
    </row>
    <row r="23" spans="1:8" ht="17" customHeight="1" x14ac:dyDescent="0.35">
      <c r="A23" s="179">
        <v>22</v>
      </c>
      <c r="B23" s="81" t="s">
        <v>129</v>
      </c>
      <c r="C23" s="76" t="s">
        <v>130</v>
      </c>
      <c r="D23" s="76" t="s">
        <v>156</v>
      </c>
      <c r="E23" s="35" t="s">
        <v>74</v>
      </c>
      <c r="F23" s="76">
        <v>1</v>
      </c>
      <c r="G23" s="193">
        <v>50.99</v>
      </c>
      <c r="H23" s="200">
        <f t="shared" si="0"/>
        <v>50.99</v>
      </c>
    </row>
    <row r="24" spans="1:8" ht="17" customHeight="1" x14ac:dyDescent="0.35">
      <c r="A24" s="179">
        <v>23</v>
      </c>
      <c r="B24" s="81" t="s">
        <v>131</v>
      </c>
      <c r="C24" s="76" t="s">
        <v>132</v>
      </c>
      <c r="D24" s="76" t="s">
        <v>155</v>
      </c>
      <c r="E24" s="35" t="s">
        <v>74</v>
      </c>
      <c r="F24" s="76">
        <v>1</v>
      </c>
      <c r="G24" s="193">
        <v>37.67</v>
      </c>
      <c r="H24" s="200">
        <f t="shared" si="0"/>
        <v>37.67</v>
      </c>
    </row>
    <row r="25" spans="1:8" ht="17" customHeight="1" x14ac:dyDescent="0.35">
      <c r="A25" s="179">
        <v>24</v>
      </c>
      <c r="B25" s="81" t="s">
        <v>133</v>
      </c>
      <c r="C25" s="76" t="s">
        <v>134</v>
      </c>
      <c r="D25" s="76" t="s">
        <v>90</v>
      </c>
      <c r="E25" s="35" t="s">
        <v>74</v>
      </c>
      <c r="F25" s="76">
        <v>1</v>
      </c>
      <c r="G25" s="193">
        <v>17.850000000000001</v>
      </c>
      <c r="H25" s="200">
        <f t="shared" si="0"/>
        <v>17.850000000000001</v>
      </c>
    </row>
    <row r="26" spans="1:8" x14ac:dyDescent="0.35">
      <c r="A26" s="179">
        <v>25</v>
      </c>
      <c r="B26" s="182" t="s">
        <v>157</v>
      </c>
      <c r="C26" s="76" t="s">
        <v>158</v>
      </c>
      <c r="D26" s="76" t="s">
        <v>159</v>
      </c>
      <c r="E26" s="35" t="s">
        <v>74</v>
      </c>
      <c r="F26" s="76">
        <v>1</v>
      </c>
      <c r="G26" s="193">
        <v>3.88</v>
      </c>
      <c r="H26" s="200">
        <f t="shared" si="0"/>
        <v>3.88</v>
      </c>
    </row>
    <row r="27" spans="1:8" x14ac:dyDescent="0.35">
      <c r="A27" s="179">
        <v>26</v>
      </c>
      <c r="B27" s="81" t="s">
        <v>165</v>
      </c>
      <c r="C27" s="76" t="s">
        <v>160</v>
      </c>
      <c r="D27" s="76" t="s">
        <v>161</v>
      </c>
      <c r="E27" s="35" t="s">
        <v>74</v>
      </c>
      <c r="F27" s="76">
        <v>1</v>
      </c>
      <c r="G27" s="193">
        <v>5.14</v>
      </c>
      <c r="H27" s="200">
        <f t="shared" si="0"/>
        <v>5.14</v>
      </c>
    </row>
    <row r="28" spans="1:8" x14ac:dyDescent="0.35">
      <c r="A28" s="179">
        <v>27</v>
      </c>
      <c r="B28" s="81" t="s">
        <v>162</v>
      </c>
      <c r="C28" s="76" t="s">
        <v>163</v>
      </c>
      <c r="D28" s="76" t="s">
        <v>164</v>
      </c>
      <c r="E28" s="35" t="s">
        <v>74</v>
      </c>
      <c r="F28" s="76">
        <v>2</v>
      </c>
      <c r="G28" s="193">
        <v>2.5099999999999998</v>
      </c>
      <c r="H28" s="200">
        <f t="shared" si="0"/>
        <v>5.0199999999999996</v>
      </c>
    </row>
    <row r="29" spans="1:8" x14ac:dyDescent="0.35">
      <c r="A29" s="179">
        <v>28</v>
      </c>
      <c r="B29" s="81" t="s">
        <v>167</v>
      </c>
      <c r="C29" s="76" t="s">
        <v>166</v>
      </c>
      <c r="D29" s="76" t="s">
        <v>168</v>
      </c>
      <c r="E29" s="35" t="s">
        <v>74</v>
      </c>
      <c r="F29" s="76">
        <v>1</v>
      </c>
      <c r="G29" s="193">
        <v>3.98</v>
      </c>
      <c r="H29" s="200">
        <f t="shared" si="0"/>
        <v>3.98</v>
      </c>
    </row>
    <row r="30" spans="1:8" x14ac:dyDescent="0.35">
      <c r="A30" s="179">
        <v>29</v>
      </c>
      <c r="B30" s="183" t="s">
        <v>170</v>
      </c>
      <c r="C30" s="76" t="s">
        <v>171</v>
      </c>
      <c r="D30" s="76" t="s">
        <v>172</v>
      </c>
      <c r="E30" s="35" t="s">
        <v>74</v>
      </c>
      <c r="F30" s="184">
        <v>1</v>
      </c>
      <c r="G30" s="193">
        <v>2.9</v>
      </c>
      <c r="H30" s="200">
        <f t="shared" si="0"/>
        <v>2.9</v>
      </c>
    </row>
    <row r="31" spans="1:8" x14ac:dyDescent="0.35">
      <c r="A31" s="186"/>
      <c r="B31" s="187"/>
      <c r="C31" s="188"/>
      <c r="D31" s="187"/>
      <c r="E31" s="187"/>
      <c r="F31" s="187"/>
      <c r="G31" s="195"/>
      <c r="H31" s="195"/>
    </row>
    <row r="32" spans="1:8" ht="15.5" customHeight="1" x14ac:dyDescent="0.35">
      <c r="D32" s="189" t="s">
        <v>169</v>
      </c>
      <c r="E32" s="189"/>
      <c r="F32" s="189"/>
      <c r="G32" s="189"/>
      <c r="H32" s="201">
        <f>SUM(H2:H30)</f>
        <v>357.19</v>
      </c>
    </row>
    <row r="33" spans="2:8" ht="14.5" customHeight="1" x14ac:dyDescent="0.35">
      <c r="D33" s="189"/>
      <c r="E33" s="189"/>
      <c r="F33" s="189"/>
      <c r="G33" s="189"/>
      <c r="H33" s="201"/>
    </row>
    <row r="35" spans="2:8" x14ac:dyDescent="0.35">
      <c r="B35" s="79"/>
      <c r="C35" s="185"/>
      <c r="E35" s="191"/>
    </row>
    <row r="36" spans="2:8" x14ac:dyDescent="0.35">
      <c r="B36" s="78"/>
      <c r="E36" s="85"/>
    </row>
    <row r="37" spans="2:8" ht="15" thickBot="1" x14ac:dyDescent="0.4">
      <c r="B37" s="78"/>
    </row>
    <row r="38" spans="2:8" ht="15" thickBot="1" x14ac:dyDescent="0.4">
      <c r="B38" s="68" t="s">
        <v>76</v>
      </c>
    </row>
    <row r="39" spans="2:8" ht="15" thickBot="1" x14ac:dyDescent="0.4">
      <c r="B39" s="69" t="s">
        <v>77</v>
      </c>
    </row>
    <row r="40" spans="2:8" ht="15" thickBot="1" x14ac:dyDescent="0.4">
      <c r="B40" s="70" t="s">
        <v>78</v>
      </c>
    </row>
    <row r="41" spans="2:8" x14ac:dyDescent="0.35">
      <c r="B41" s="78"/>
    </row>
    <row r="42" spans="2:8" x14ac:dyDescent="0.35">
      <c r="B42" s="79"/>
      <c r="C42" s="185"/>
      <c r="D42" s="79"/>
      <c r="E42" s="79"/>
      <c r="F42" s="79"/>
      <c r="G42" s="197"/>
    </row>
    <row r="43" spans="2:8" x14ac:dyDescent="0.35">
      <c r="B43" s="78"/>
      <c r="C43" s="78"/>
      <c r="E43" s="78"/>
      <c r="F43" s="78"/>
      <c r="G43" s="198"/>
    </row>
    <row r="44" spans="2:8" x14ac:dyDescent="0.35">
      <c r="B44" s="78"/>
      <c r="C44" s="78"/>
      <c r="E44" s="78"/>
      <c r="F44" s="78"/>
      <c r="G44" s="198"/>
    </row>
    <row r="45" spans="2:8" x14ac:dyDescent="0.35">
      <c r="B45" s="78"/>
      <c r="C45" s="78"/>
      <c r="E45" s="78"/>
      <c r="F45" s="78"/>
      <c r="G45" s="198"/>
    </row>
    <row r="46" spans="2:8" x14ac:dyDescent="0.35">
      <c r="B46" s="78"/>
      <c r="C46" s="78"/>
      <c r="D46"/>
      <c r="E46" s="78"/>
      <c r="F46" s="78"/>
      <c r="G46" s="198"/>
    </row>
    <row r="47" spans="2:8" x14ac:dyDescent="0.35">
      <c r="B47" s="78"/>
      <c r="C47" s="78"/>
      <c r="D47"/>
      <c r="E47" s="78"/>
      <c r="F47" s="78"/>
      <c r="G47" s="198"/>
    </row>
    <row r="48" spans="2:8" x14ac:dyDescent="0.35">
      <c r="B48" s="78"/>
      <c r="C48" s="78"/>
      <c r="D48" s="82"/>
      <c r="E48" s="78"/>
      <c r="F48" s="78"/>
      <c r="G48" s="198"/>
    </row>
    <row r="49" spans="1:7" x14ac:dyDescent="0.35">
      <c r="B49" s="78"/>
      <c r="C49" s="78"/>
      <c r="D49"/>
      <c r="E49" s="78"/>
      <c r="F49" s="78"/>
      <c r="G49" s="198"/>
    </row>
    <row r="50" spans="1:7" x14ac:dyDescent="0.35">
      <c r="B50" s="78"/>
      <c r="C50" s="78"/>
      <c r="D50"/>
      <c r="E50" s="78"/>
      <c r="F50" s="78"/>
      <c r="G50" s="198"/>
    </row>
    <row r="51" spans="1:7" x14ac:dyDescent="0.35">
      <c r="B51" s="78"/>
      <c r="C51" s="78"/>
      <c r="D51" s="82"/>
      <c r="E51" s="78"/>
      <c r="F51" s="78"/>
      <c r="G51" s="198"/>
    </row>
    <row r="52" spans="1:7" x14ac:dyDescent="0.35">
      <c r="B52" s="78"/>
      <c r="C52" s="78"/>
      <c r="D52"/>
      <c r="E52" s="78"/>
      <c r="F52" s="78"/>
      <c r="G52" s="198"/>
    </row>
    <row r="53" spans="1:7" x14ac:dyDescent="0.35">
      <c r="B53" s="78"/>
      <c r="C53" s="78"/>
      <c r="D53"/>
      <c r="E53" s="78"/>
      <c r="F53" s="78"/>
      <c r="G53" s="198"/>
    </row>
    <row r="54" spans="1:7" x14ac:dyDescent="0.35">
      <c r="B54" s="78"/>
      <c r="C54" s="78"/>
      <c r="E54" s="78"/>
      <c r="F54" s="78"/>
      <c r="G54" s="198"/>
    </row>
    <row r="55" spans="1:7" x14ac:dyDescent="0.35">
      <c r="B55" s="78"/>
      <c r="C55" s="78"/>
      <c r="E55" s="78"/>
      <c r="F55" s="78"/>
      <c r="G55" s="198"/>
    </row>
    <row r="56" spans="1:7" x14ac:dyDescent="0.35">
      <c r="B56" s="78"/>
      <c r="C56" s="78"/>
      <c r="E56" s="78"/>
      <c r="F56" s="78"/>
      <c r="G56" s="198"/>
    </row>
    <row r="57" spans="1:7" x14ac:dyDescent="0.35">
      <c r="B57" s="78"/>
      <c r="C57" s="78"/>
      <c r="E57" s="78"/>
      <c r="F57" s="78"/>
      <c r="G57" s="198"/>
    </row>
    <row r="58" spans="1:7" x14ac:dyDescent="0.35">
      <c r="A58" s="176">
        <v>1</v>
      </c>
      <c r="E58" s="78"/>
      <c r="F58" s="78"/>
      <c r="G58" s="198"/>
    </row>
    <row r="59" spans="1:7" x14ac:dyDescent="0.35">
      <c r="A59" s="176">
        <v>2</v>
      </c>
      <c r="E59" s="78"/>
      <c r="F59" s="78"/>
      <c r="G59" s="198"/>
    </row>
    <row r="60" spans="1:7" x14ac:dyDescent="0.35">
      <c r="A60" s="176">
        <v>3</v>
      </c>
      <c r="E60" s="78"/>
      <c r="F60" s="78"/>
      <c r="G60" s="198"/>
    </row>
    <row r="61" spans="1:7" x14ac:dyDescent="0.35">
      <c r="A61" s="176">
        <v>4</v>
      </c>
      <c r="E61" s="78"/>
      <c r="F61" s="78"/>
      <c r="G61" s="198"/>
    </row>
    <row r="62" spans="1:7" x14ac:dyDescent="0.35">
      <c r="A62" s="176">
        <v>5</v>
      </c>
      <c r="E62" s="78"/>
      <c r="F62" s="78"/>
      <c r="G62" s="198"/>
    </row>
    <row r="63" spans="1:7" x14ac:dyDescent="0.35">
      <c r="A63" s="176">
        <v>6</v>
      </c>
      <c r="E63" s="78"/>
      <c r="F63" s="78"/>
      <c r="G63" s="198"/>
    </row>
    <row r="64" spans="1:7" x14ac:dyDescent="0.35">
      <c r="A64" s="176">
        <v>7</v>
      </c>
      <c r="E64" s="78"/>
      <c r="F64" s="78"/>
      <c r="G64" s="198"/>
    </row>
    <row r="65" spans="1:7" x14ac:dyDescent="0.35">
      <c r="A65" s="176">
        <v>8</v>
      </c>
      <c r="E65" s="78"/>
      <c r="F65" s="78"/>
      <c r="G65" s="198"/>
    </row>
    <row r="66" spans="1:7" x14ac:dyDescent="0.35">
      <c r="A66" s="176">
        <v>9</v>
      </c>
      <c r="E66" s="78"/>
      <c r="F66" s="78"/>
      <c r="G66" s="198"/>
    </row>
    <row r="67" spans="1:7" x14ac:dyDescent="0.35">
      <c r="A67" s="176">
        <v>10</v>
      </c>
    </row>
    <row r="68" spans="1:7" x14ac:dyDescent="0.35">
      <c r="A68" s="176">
        <v>11</v>
      </c>
    </row>
    <row r="69" spans="1:7" x14ac:dyDescent="0.35">
      <c r="A69" s="176">
        <v>12</v>
      </c>
    </row>
    <row r="70" spans="1:7" x14ac:dyDescent="0.35">
      <c r="A70" s="176">
        <v>13</v>
      </c>
    </row>
    <row r="71" spans="1:7" x14ac:dyDescent="0.35">
      <c r="A71" s="176">
        <v>14</v>
      </c>
    </row>
    <row r="72" spans="1:7" x14ac:dyDescent="0.35">
      <c r="A72" s="176">
        <v>15</v>
      </c>
    </row>
    <row r="73" spans="1:7" x14ac:dyDescent="0.35">
      <c r="A73" s="176">
        <v>16</v>
      </c>
    </row>
    <row r="74" spans="1:7" x14ac:dyDescent="0.35">
      <c r="A74" s="176">
        <v>17</v>
      </c>
    </row>
    <row r="75" spans="1:7" x14ac:dyDescent="0.35">
      <c r="A75" s="176">
        <v>18</v>
      </c>
    </row>
    <row r="76" spans="1:7" x14ac:dyDescent="0.35">
      <c r="A76" s="176">
        <v>19</v>
      </c>
    </row>
    <row r="77" spans="1:7" x14ac:dyDescent="0.35">
      <c r="A77" s="176">
        <v>20</v>
      </c>
    </row>
    <row r="78" spans="1:7" x14ac:dyDescent="0.35">
      <c r="A78" s="176">
        <v>21</v>
      </c>
    </row>
    <row r="79" spans="1:7" x14ac:dyDescent="0.35">
      <c r="A79" s="176">
        <v>22</v>
      </c>
    </row>
    <row r="80" spans="1:7" x14ac:dyDescent="0.35">
      <c r="A80" s="176">
        <v>23</v>
      </c>
    </row>
    <row r="81" spans="1:1" x14ac:dyDescent="0.35">
      <c r="A81" s="176">
        <v>24</v>
      </c>
    </row>
    <row r="82" spans="1:1" x14ac:dyDescent="0.35">
      <c r="A82" s="176">
        <v>25</v>
      </c>
    </row>
    <row r="83" spans="1:1" x14ac:dyDescent="0.35">
      <c r="A83" s="176">
        <v>26</v>
      </c>
    </row>
    <row r="84" spans="1:1" x14ac:dyDescent="0.35">
      <c r="A84" s="176">
        <v>27</v>
      </c>
    </row>
    <row r="85" spans="1:1" x14ac:dyDescent="0.35">
      <c r="A85" s="176">
        <v>28</v>
      </c>
    </row>
  </sheetData>
  <mergeCells count="2">
    <mergeCell ref="H32:H33"/>
    <mergeCell ref="D32:G33"/>
  </mergeCells>
  <hyperlinks>
    <hyperlink ref="E2" r:id="rId1"/>
    <hyperlink ref="E3:E29" r:id="rId2" display="AliExpress Link"/>
    <hyperlink ref="E3" r:id="rId3"/>
    <hyperlink ref="E4" r:id="rId4"/>
    <hyperlink ref="E5" r:id="rId5"/>
    <hyperlink ref="E6" r:id="rId6"/>
    <hyperlink ref="E7" r:id="rId7"/>
    <hyperlink ref="E8" r:id="rId8"/>
    <hyperlink ref="E9" r:id="rId9"/>
    <hyperlink ref="E10" r:id="rId10"/>
    <hyperlink ref="E11" r:id="rId11"/>
    <hyperlink ref="E12" r:id="rId12"/>
    <hyperlink ref="E13" r:id="rId13"/>
    <hyperlink ref="E14" r:id="rId14"/>
    <hyperlink ref="E15" r:id="rId15"/>
    <hyperlink ref="E16" r:id="rId16"/>
    <hyperlink ref="E17" r:id="rId17"/>
    <hyperlink ref="E18" r:id="rId18"/>
    <hyperlink ref="E19" r:id="rId19"/>
    <hyperlink ref="E20" r:id="rId20"/>
    <hyperlink ref="E21" r:id="rId21"/>
    <hyperlink ref="E22" r:id="rId22"/>
    <hyperlink ref="E23" r:id="rId23"/>
    <hyperlink ref="E24" r:id="rId24"/>
    <hyperlink ref="E25" r:id="rId25"/>
    <hyperlink ref="E26" r:id="rId26"/>
    <hyperlink ref="E27" r:id="rId27"/>
    <hyperlink ref="E28" r:id="rId28"/>
    <hyperlink ref="E29" r:id="rId29"/>
    <hyperlink ref="E30" r:id="rId30"/>
    <hyperlink ref="E30:F30" r:id="rId31" display="AliExpress Link"/>
  </hyperlinks>
  <pageMargins left="0.25" right="0.25" top="0.75" bottom="0.75" header="0.3" footer="0.3"/>
  <pageSetup paperSize="9" scale="59" fitToHeight="0" orientation="landscape" r:id="rId32"/>
  <tableParts count="1">
    <tablePart r:id="rId3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Additional Project Information</vt:lpstr>
      <vt:lpstr>Solar Powered Automatic Gong</vt:lpstr>
      <vt:lpstr>Component List</vt:lpstr>
      <vt:lpstr>'Additional Project Information'!Print_Area</vt:lpstr>
      <vt:lpstr>'Solar Powered Automatic Gong'!Print_Area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HP i7</cp:lastModifiedBy>
  <cp:revision/>
  <cp:lastPrinted>2025-09-15T15:28:25Z</cp:lastPrinted>
  <dcterms:created xsi:type="dcterms:W3CDTF">2025-07-30T18:47:13Z</dcterms:created>
  <dcterms:modified xsi:type="dcterms:W3CDTF">2025-09-15T15:29:16Z</dcterms:modified>
  <cp:category/>
  <cp:contentStatus/>
</cp:coreProperties>
</file>