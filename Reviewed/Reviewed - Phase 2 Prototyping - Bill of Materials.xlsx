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sruk-my.sharepoint.com/personal/jethro_rebollar_sheppardrobson_com/Documents/Desktop/jRo/Hierro/MMP/Fiverr Consult/Zaeem (Phase 2)/15SEPT2025/"/>
    </mc:Choice>
  </mc:AlternateContent>
  <xr:revisionPtr revIDLastSave="94" documentId="8_{DD90F0C0-8A7B-4F45-BD39-5E767A049A14}" xr6:coauthVersionLast="47" xr6:coauthVersionMax="47" xr10:uidLastSave="{2650D98F-17DC-4F8F-A46C-68526B4941D9}"/>
  <bookViews>
    <workbookView xWindow="-15420" yWindow="-18120" windowWidth="29040" windowHeight="17520" firstSheet="1" activeTab="1" xr2:uid="{C7DDADC0-536B-4702-B5D8-635333634A1F}"/>
  </bookViews>
  <sheets>
    <sheet name="bill" sheetId="1" r:id="rId1"/>
    <sheet name="bill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2" l="1" a="1"/>
  <c r="L33" i="2" s="1"/>
  <c r="G33" i="2"/>
  <c r="F33" i="2"/>
  <c r="L32" i="2" a="1"/>
  <c r="L32" i="2" s="1"/>
  <c r="H32" i="2"/>
  <c r="L31" i="2" a="1"/>
  <c r="L31" i="2" s="1"/>
  <c r="I31" i="2" s="1"/>
  <c r="H31" i="2"/>
  <c r="L30" i="2" a="1"/>
  <c r="L30" i="2" s="1"/>
  <c r="I30" i="2" s="1"/>
  <c r="H30" i="2"/>
  <c r="L29" i="2" a="1"/>
  <c r="L29" i="2" s="1"/>
  <c r="H29" i="2"/>
  <c r="L28" i="2" a="1"/>
  <c r="L28" i="2" s="1"/>
  <c r="I28" i="2" s="1"/>
  <c r="H28" i="2"/>
  <c r="L27" i="2" a="1"/>
  <c r="L27" i="2" s="1"/>
  <c r="H27" i="2"/>
  <c r="L26" i="2" a="1"/>
  <c r="L26" i="2" s="1"/>
  <c r="H26" i="2"/>
  <c r="L25" i="2" a="1"/>
  <c r="L25" i="2" s="1"/>
  <c r="H25" i="2"/>
  <c r="L24" i="2" a="1"/>
  <c r="L24" i="2" s="1"/>
  <c r="H24" i="2"/>
  <c r="L23" i="2" a="1"/>
  <c r="L23" i="2" s="1"/>
  <c r="I23" i="2" s="1"/>
  <c r="H23" i="2"/>
  <c r="L22" i="2" a="1"/>
  <c r="L22" i="2" s="1"/>
  <c r="I22" i="2" s="1"/>
  <c r="H22" i="2"/>
  <c r="L21" i="2" a="1"/>
  <c r="L21" i="2" s="1"/>
  <c r="H21" i="2"/>
  <c r="L20" i="2" a="1"/>
  <c r="L20" i="2" s="1"/>
  <c r="I20" i="2" s="1"/>
  <c r="H20" i="2"/>
  <c r="L19" i="2" a="1"/>
  <c r="L19" i="2" s="1"/>
  <c r="H19" i="2"/>
  <c r="L18" i="2" a="1"/>
  <c r="L18" i="2" s="1"/>
  <c r="H18" i="2"/>
  <c r="L17" i="2" a="1"/>
  <c r="L17" i="2" s="1"/>
  <c r="H17" i="2"/>
  <c r="L16" i="2" a="1"/>
  <c r="L16" i="2" s="1"/>
  <c r="H16" i="2"/>
  <c r="L15" i="2" a="1"/>
  <c r="L15" i="2" s="1"/>
  <c r="I15" i="2" s="1"/>
  <c r="H15" i="2"/>
  <c r="L14" i="2" a="1"/>
  <c r="L14" i="2" s="1"/>
  <c r="I14" i="2" s="1"/>
  <c r="H14" i="2"/>
  <c r="L13" i="2" a="1"/>
  <c r="L13" i="2" s="1"/>
  <c r="H13" i="2"/>
  <c r="L12" i="2" a="1"/>
  <c r="L12" i="2" s="1"/>
  <c r="I12" i="2" s="1"/>
  <c r="H12" i="2"/>
  <c r="L11" i="2" a="1"/>
  <c r="L11" i="2" s="1"/>
  <c r="I11" i="2" s="1"/>
  <c r="H11" i="2"/>
  <c r="L10" i="2" a="1"/>
  <c r="L10" i="2" s="1"/>
  <c r="H10" i="2"/>
  <c r="L9" i="2" a="1"/>
  <c r="L9" i="2" s="1"/>
  <c r="H9" i="2"/>
  <c r="L8" i="2" a="1"/>
  <c r="L8" i="2" s="1"/>
  <c r="H8" i="2"/>
  <c r="L7" i="2" a="1"/>
  <c r="L7" i="2" s="1"/>
  <c r="I7" i="2" s="1"/>
  <c r="H7" i="2"/>
  <c r="L6" i="2" a="1"/>
  <c r="L6" i="2" s="1"/>
  <c r="I6" i="2" s="1"/>
  <c r="H6" i="2"/>
  <c r="L5" i="2" a="1"/>
  <c r="L5" i="2" s="1"/>
  <c r="H5" i="2"/>
  <c r="L4" i="2" a="1"/>
  <c r="L4" i="2" s="1"/>
  <c r="I4" i="2" s="1"/>
  <c r="H4" i="2"/>
  <c r="L4" i="1" a="1"/>
  <c r="L4" i="1" s="1"/>
  <c r="I4" i="1" s="1"/>
  <c r="L5" i="1" a="1"/>
  <c r="L5" i="1" s="1"/>
  <c r="I5" i="1" s="1"/>
  <c r="L6" i="1" a="1"/>
  <c r="L6" i="1" s="1"/>
  <c r="I6" i="1" s="1"/>
  <c r="L7" i="1" a="1"/>
  <c r="L7" i="1" s="1"/>
  <c r="I7" i="1" s="1"/>
  <c r="L8" i="1" a="1"/>
  <c r="L8" i="1" s="1"/>
  <c r="I8" i="1" s="1"/>
  <c r="L9" i="1" a="1"/>
  <c r="L9" i="1" s="1"/>
  <c r="I9" i="1" s="1"/>
  <c r="L10" i="1" a="1"/>
  <c r="L10" i="1" s="1"/>
  <c r="I10" i="1" s="1"/>
  <c r="L11" i="1" a="1"/>
  <c r="L11" i="1" s="1"/>
  <c r="I11" i="1" s="1"/>
  <c r="L12" i="1" a="1"/>
  <c r="L12" i="1" s="1"/>
  <c r="I12" i="1" s="1"/>
  <c r="L13" i="1" a="1"/>
  <c r="L13" i="1" s="1"/>
  <c r="I13" i="1" s="1"/>
  <c r="L14" i="1" a="1"/>
  <c r="L14" i="1" s="1"/>
  <c r="L15" i="1" a="1"/>
  <c r="L15" i="1" s="1"/>
  <c r="I15" i="1" s="1"/>
  <c r="L16" i="1" a="1"/>
  <c r="L16" i="1" s="1"/>
  <c r="I16" i="1" s="1"/>
  <c r="L17" i="1" a="1"/>
  <c r="L17" i="1" s="1"/>
  <c r="I17" i="1" s="1"/>
  <c r="L18" i="1" a="1"/>
  <c r="L18" i="1" s="1"/>
  <c r="I18" i="1" s="1"/>
  <c r="L19" i="1" a="1"/>
  <c r="L19" i="1" s="1"/>
  <c r="I19" i="1" s="1"/>
  <c r="L20" i="1" a="1"/>
  <c r="L20" i="1" s="1"/>
  <c r="I20" i="1" s="1"/>
  <c r="L21" i="1" a="1"/>
  <c r="L21" i="1" s="1"/>
  <c r="I21" i="1" s="1"/>
  <c r="L22" i="1" a="1"/>
  <c r="L22" i="1" s="1"/>
  <c r="I22" i="1" s="1"/>
  <c r="L23" i="1" a="1"/>
  <c r="L23" i="1" s="1"/>
  <c r="I23" i="1" s="1"/>
  <c r="L24" i="1" a="1"/>
  <c r="L24" i="1" s="1"/>
  <c r="I24" i="1" s="1"/>
  <c r="L25" i="1" a="1"/>
  <c r="L25" i="1" s="1"/>
  <c r="I25" i="1" s="1"/>
  <c r="L26" i="1" a="1"/>
  <c r="L26" i="1" s="1"/>
  <c r="L27" i="1" a="1"/>
  <c r="L27" i="1" s="1"/>
  <c r="I27" i="1" s="1"/>
  <c r="L28" i="1" a="1"/>
  <c r="L28" i="1" s="1"/>
  <c r="I28" i="1" s="1"/>
  <c r="L29" i="1" a="1"/>
  <c r="L29" i="1" s="1"/>
  <c r="I29" i="1" s="1"/>
  <c r="L30" i="1" a="1"/>
  <c r="L30" i="1" s="1"/>
  <c r="I30" i="1" s="1"/>
  <c r="L31" i="1" a="1"/>
  <c r="L31" i="1" s="1"/>
  <c r="I31" i="1" s="1"/>
  <c r="L32" i="1" a="1"/>
  <c r="L32" i="1" s="1"/>
  <c r="L3" i="1" a="1"/>
  <c r="L3" i="1" s="1"/>
  <c r="I3" i="1" s="1"/>
  <c r="G32" i="1"/>
  <c r="F3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32" i="1" l="1"/>
  <c r="I32" i="1"/>
  <c r="J26" i="1"/>
  <c r="J14" i="1"/>
  <c r="I14" i="1"/>
  <c r="J16" i="2"/>
  <c r="J24" i="2"/>
  <c r="J26" i="2"/>
  <c r="J32" i="2"/>
  <c r="J28" i="2"/>
  <c r="J31" i="2"/>
  <c r="J30" i="1"/>
  <c r="J25" i="2"/>
  <c r="J17" i="2"/>
  <c r="I17" i="2"/>
  <c r="J15" i="2"/>
  <c r="J22" i="2"/>
  <c r="I26" i="2"/>
  <c r="I9" i="2"/>
  <c r="J9" i="2"/>
  <c r="I10" i="2"/>
  <c r="J10" i="2"/>
  <c r="I18" i="2"/>
  <c r="J18" i="2"/>
  <c r="J21" i="1"/>
  <c r="J6" i="2"/>
  <c r="J11" i="2"/>
  <c r="J20" i="2"/>
  <c r="J30" i="2"/>
  <c r="J6" i="1"/>
  <c r="J12" i="2"/>
  <c r="H33" i="2"/>
  <c r="J33" i="2" s="1"/>
  <c r="J8" i="2"/>
  <c r="I8" i="2"/>
  <c r="J13" i="2"/>
  <c r="I13" i="2"/>
  <c r="J23" i="2"/>
  <c r="J27" i="2"/>
  <c r="I27" i="2"/>
  <c r="I5" i="2"/>
  <c r="J5" i="2"/>
  <c r="J14" i="2"/>
  <c r="J19" i="2"/>
  <c r="I19" i="2"/>
  <c r="J21" i="2"/>
  <c r="I21" i="2"/>
  <c r="J29" i="2"/>
  <c r="I29" i="2"/>
  <c r="J7" i="2"/>
  <c r="I33" i="2"/>
  <c r="I25" i="2"/>
  <c r="J4" i="2"/>
  <c r="I16" i="2"/>
  <c r="I24" i="2"/>
  <c r="I32" i="2"/>
  <c r="J29" i="1"/>
  <c r="I26" i="1"/>
  <c r="J13" i="1"/>
  <c r="J18" i="1"/>
  <c r="J22" i="1"/>
  <c r="J10" i="1"/>
  <c r="J25" i="1"/>
  <c r="J17" i="1"/>
  <c r="J9" i="1"/>
  <c r="J5" i="1"/>
  <c r="J28" i="1"/>
  <c r="J24" i="1"/>
  <c r="J20" i="1"/>
  <c r="J16" i="1"/>
  <c r="J12" i="1"/>
  <c r="J8" i="1"/>
  <c r="J4" i="1"/>
  <c r="J31" i="1"/>
  <c r="J27" i="1"/>
  <c r="J23" i="1"/>
  <c r="J19" i="1"/>
  <c r="J15" i="1"/>
  <c r="J11" i="1"/>
  <c r="J7" i="1"/>
  <c r="J32" i="1"/>
  <c r="J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<sst xmlns="http://schemas.openxmlformats.org/spreadsheetml/2006/main" count="274" uniqueCount="106">
  <si>
    <t>EURO</t>
  </si>
  <si>
    <t>POUND STERLING</t>
  </si>
  <si>
    <t>Sr. No</t>
  </si>
  <si>
    <t>Component Name</t>
  </si>
  <si>
    <t>Variant</t>
  </si>
  <si>
    <t>Description / Use</t>
  </si>
  <si>
    <t>Unit to Affluence</t>
  </si>
  <si>
    <t>Quantity</t>
  </si>
  <si>
    <t>Unit Price</t>
  </si>
  <si>
    <t>Total Price (3)</t>
  </si>
  <si>
    <t>Project Junction Box for Electrical Cable Outdoor DIY Sealed IP67 Enclosure Wire Box</t>
  </si>
  <si>
    <t>230x150x85mm</t>
  </si>
  <si>
    <t>Waterproof enclosure for electrical/electronic projects, outdoor use</t>
  </si>
  <si>
    <t>AllExpress Link</t>
  </si>
  <si>
    <t>Smart Electronics DC D-25V Standard Voltage Sensor Module Test Electronic Bricks Smart Robot for DIY</t>
  </si>
  <si>
    <t>Voltage Sensor</t>
  </si>
  <si>
    <t>Measures voltage for Arduino/DIY electronics projects</t>
  </si>
  <si>
    <t>10/50pcs Super Soft Silicone Jumper Wire 1Pin Dupont Cable 26AWG Male Female Solderless</t>
  </si>
  <si>
    <t>Black x 30pcs, Female to Female, 10 cm</t>
  </si>
  <si>
    <t>Flexible, solderless wiring for DIY connections</t>
  </si>
  <si>
    <t>Yellow x 30pcs, Male to Male, 10 cm</t>
  </si>
  <si>
    <t>White x 30pcs, Female to Male, 10 cm</t>
  </si>
  <si>
    <t>5-50pcs SV To 3.3V DC-DC Step Down Power Supply Buck Module AMS1117 800MA Automatic Adjustable Boost Board</t>
  </si>
  <si>
    <t>5pcs</t>
  </si>
  <si>
    <t>AMS1117 800MA Adjustable module for stepping down voltage</t>
  </si>
  <si>
    <t>12mm 16mm 19mm 22mm metal push button on/off switch power LED light Waterproof Flat circular button</t>
  </si>
  <si>
    <t>Green-F, 16mm, 9-30V (12V), Latching Reset</t>
  </si>
  <si>
    <t>Waterproof flat circular button with LED indicator</t>
  </si>
  <si>
    <t>5x 12v 1 2 4 6 8 way relay module for Arduino</t>
  </si>
  <si>
    <t>5V, 1 channel relay</t>
  </si>
  <si>
    <t>Optocoupler relay module for controlling high voltage devices</t>
  </si>
  <si>
    <t>WORK WX242 Mini Electrical Screwdriver Set Smart Cordless Electric Screw Driver</t>
  </si>
  <si>
    <t>WX242</t>
  </si>
  <si>
    <t>Mini Smart cordless Drill</t>
  </si>
  <si>
    <t>1PC 3-13mm Titanium Plated Hexagonal Handle Step Drill Multi Functional Pagoda Drill Irregular Drill Bit</t>
  </si>
  <si>
    <t>1PC 3-13mm, Hexagon handle</t>
  </si>
  <si>
    <t>Multi-functional pagoda drill bit for metals and plastics</t>
  </si>
  <si>
    <t>1pcs white/black ABS plastic plate model sheet DIY model material parts</t>
  </si>
  <si>
    <t>1.5x200x200mm, White</t>
  </si>
  <si>
    <t>DIY modeling material for electronics/mechanical projects</t>
  </si>
  <si>
    <t>Black Heat Shrink Tube Kit Thermoresistant Tubing</t>
  </si>
  <si>
    <t>127Pcs-dag, CHINA, 3.2mm</t>
  </si>
  <si>
    <t>Insulation tubing for wire connections, thermoresistant</t>
  </si>
  <si>
    <t>Super Glue All-Purpose Liquid 20g</t>
  </si>
  <si>
    <t>20ML</t>
  </si>
  <si>
    <t>Fast-drying adhesive for metal, plastic, wood, ceramic, glass</t>
  </si>
  <si>
    <t>1-10pcs Photosensitive brightness resistance sensor module Light intensity detect</t>
  </si>
  <si>
    <t>2pcs</t>
  </si>
  <si>
    <t>LDR sensor module to detect light intensity for Arduino</t>
  </si>
  <si>
    <t>SPCS 5.2x8.9cm Standard Permanent Breadboard Solder PCB Board</t>
  </si>
  <si>
    <t>5pcs PCB</t>
  </si>
  <si>
    <t>Prototype board for soldering electronics circuits</t>
  </si>
  <si>
    <t>10Amp 12 Volt MPPT Solar Charge Controller, Bateria Power Intelligent Portable Solar Panel Controller</t>
  </si>
  <si>
    <t>10A, 12V</t>
  </si>
  <si>
    <t>MPPT controller for 12V solar panels, high efficiency, protects battery</t>
  </si>
  <si>
    <t>Original Raspberry Pi Pico W with Wireless WiFi Development Board</t>
  </si>
  <si>
    <t>RP2040 TYPE-C</t>
  </si>
  <si>
    <t>Microcontroller board with WiFi, supports MicroPython/C++</t>
  </si>
  <si>
    <t>Electronic switch control board, pulse triggered switch module, DC controlled MOSFET</t>
  </si>
  <si>
    <t>1 pcs</t>
  </si>
  <si>
    <t>PWM electronic switch for DIY motor or actuator control</t>
  </si>
  <si>
    <t>MH-ET LIVE Omnidirectional Microphone Module I2S Interface INMP441 MEMS</t>
  </si>
  <si>
    <t>A no welding</t>
  </si>
  <si>
    <t>I2S MEMS microphone for ESP32, low power, compact size</t>
  </si>
  <si>
    <t>LICHSEP T-SIM A7608E-H A7608SA-H ESP32 LTE Cat 4 High Speed 4G Network GPS Antenna</t>
  </si>
  <si>
    <t>A7608E-H ESP32, With GPS</t>
  </si>
  <si>
    <t>Cellular, WiFi, GPS, and Bluetooth connectivity</t>
  </si>
  <si>
    <t>Ultra-Small Size DC-DC Step Down Power Supply Module MP1584EN 3A Adjustable Buck Converter</t>
  </si>
  <si>
    <t>SPCS</t>
  </si>
  <si>
    <t>MP1584EN Adjustable buck converter for Arduino, replaces LM2596</t>
  </si>
  <si>
    <t>Glass Solar Panel 50W 100W 25 Years Service Life 25MM Thickness Aluminum Frame Cell</t>
  </si>
  <si>
    <t>19.8V 50W, CZECH REPUBLIC</t>
  </si>
  <si>
    <t>Rigid temperedHarvest sunlight to charge LiFePO4 battery</t>
  </si>
  <si>
    <t>12V 6Ah 8Ah 12Ah 18Ah 24Ah Rechargeable LiFePO4 Battery Pack Build-in BMS</t>
  </si>
  <si>
    <t>12.8V 6Ah, CHINA</t>
  </si>
  <si>
    <t>Store solar energy for system operation</t>
  </si>
  <si>
    <t>DC12V 24V Through Push Pull Small DC Electromagnet</t>
  </si>
  <si>
    <t>12648, 12V</t>
  </si>
  <si>
    <t>Actuator to perform mechanical action (e.g., bell strike)</t>
  </si>
  <si>
    <t>Battery Capacity Meter Indicator</t>
  </si>
  <si>
    <t>White</t>
  </si>
  <si>
    <t>Displays Battery Voltages</t>
  </si>
  <si>
    <t>Hexagonal Handle Twist Drill Bits</t>
  </si>
  <si>
    <t>5pcs 1.5-4.0mm</t>
  </si>
  <si>
    <t>Drill Bits For Holes and Enclosure Modifications</t>
  </si>
  <si>
    <t>VEML7700 Ambient Light Sensor Module</t>
  </si>
  <si>
    <t>VEML7700</t>
  </si>
  <si>
    <t>Light Sensor with I2C Protocol</t>
  </si>
  <si>
    <t>1 PCS Male Female Connector Plug With 26/18AWG Silicon Wire</t>
  </si>
  <si>
    <t>1pc</t>
  </si>
  <si>
    <t>Battery Connector Wire Terminal</t>
  </si>
  <si>
    <t>PD85W Charging Module</t>
  </si>
  <si>
    <t>Standard</t>
  </si>
  <si>
    <t>Charging Module</t>
  </si>
  <si>
    <t>Client Comments - Issued 22 SEPT 2025</t>
  </si>
  <si>
    <t>Value Engineering alternative</t>
  </si>
  <si>
    <t>Comments</t>
  </si>
  <si>
    <t>I'm happy to use an old plastic container from a food container</t>
  </si>
  <si>
    <t>Need clarification: What purpose does this serve within the prototype?</t>
  </si>
  <si>
    <t>No budget available for buying specialized tools for the project</t>
  </si>
  <si>
    <t>https://www.manomano.co.uk/p/mppt-solar-charge-controller-multiple-protection-qc30-with-lcd-screen10a-87729929</t>
  </si>
  <si>
    <t>Can we use a less expensive option like the one to the left?</t>
  </si>
  <si>
    <t>https://www.elecbee.com/en-4747-high-gain-4g-lte-antenna-gps-dual-band-navigation-combined-aerial-with-sma-male-connector-15m?srsltid=AfmBOoq2HM2snC6UaYuk66neWb4KSSxpodwKbFwDsqIsP1260tZMLi946Dc</t>
  </si>
  <si>
    <t>https://www.amazon.co.uk/Monocrystalline-Charging-Efficiency-Charger-Controller/dp/B0FL2554RX?source=ps-sl-shoppingads-lpcontext&amp;ref_=fplfs&amp;psc=1&amp;smid=AI3D1H8LSWD4O</t>
  </si>
  <si>
    <t>MMP</t>
  </si>
  <si>
    <t>Cost above reflects a new, proposed total which removes out of scope items and proposed Value Engineered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</si>
</sst>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40B]"/>
    <numFmt numFmtId="165" formatCode="_-[$£-809]* #,##0.00_-;\-[$£-809]* #,##0.00_-;_-[$£-809]* &quot;-&quot;??_-;_-@_-"/>
    <numFmt numFmtId="166" formatCode="&quot;£&quot;#,##0.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trike/>
      <sz val="9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6" fillId="0" borderId="0" xfId="0" applyFont="1" applyAlignment="1">
      <alignment horizontal="left"/>
    </xf>
    <xf numFmtId="0" fontId="19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6" fontId="0" fillId="0" borderId="10" xfId="0" applyNumberFormat="1" applyBorder="1"/>
    <xf numFmtId="0" fontId="20" fillId="0" borderId="0" xfId="0" applyFont="1"/>
    <xf numFmtId="0" fontId="21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166" fontId="21" fillId="0" borderId="0" xfId="0" applyNumberFormat="1" applyFont="1"/>
    <xf numFmtId="0" fontId="16" fillId="34" borderId="13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0" fillId="0" borderId="0" xfId="0" applyAlignment="1">
      <alignment horizontal="center"/>
    </xf>
    <xf numFmtId="0" fontId="13" fillId="35" borderId="11" xfId="0" applyFont="1" applyFill="1" applyBorder="1" applyAlignment="1">
      <alignment horizontal="center" wrapText="1"/>
    </xf>
    <xf numFmtId="0" fontId="13" fillId="35" borderId="12" xfId="0" applyFont="1" applyFill="1" applyBorder="1" applyAlignment="1">
      <alignment horizontal="center" wrapText="1"/>
    </xf>
    <xf numFmtId="164" fontId="0" fillId="36" borderId="0" xfId="0" applyNumberFormat="1" applyFill="1" applyAlignment="1">
      <alignment horizontal="center"/>
    </xf>
    <xf numFmtId="0" fontId="0" fillId="36" borderId="0" xfId="0" applyFill="1" applyAlignment="1">
      <alignment horizontal="center"/>
    </xf>
    <xf numFmtId="0" fontId="21" fillId="0" borderId="0" xfId="0" applyFont="1"/>
    <xf numFmtId="0" fontId="22" fillId="0" borderId="0" xfId="0" applyFont="1"/>
    <xf numFmtId="0" fontId="0" fillId="36" borderId="0" xfId="0" applyFill="1" applyAlignment="1">
      <alignment horizontal="center" vertical="top" wrapText="1"/>
    </xf>
    <xf numFmtId="164" fontId="16" fillId="36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en-GB</v>
    <v>av92z2</v>
    <v>268435456</v>
    <v>1</v>
    <v>Powered by Refinitiv</v>
    <v>0</v>
    <v>EUR/GBP</v>
    <v>2</v>
    <v>3</v>
    <v>Finance</v>
    <v>4</v>
    <v>0.87629999999999997</v>
    <v>0.82189999999999996</v>
    <v>-2.9999999999999997E-4</v>
    <v>-3.435E-4</v>
    <v>GBP</v>
    <v>EUR</v>
    <v>0.874</v>
    <v>Currency Pair</v>
    <v>45922.932395833333</v>
    <v>0.87309999999999999</v>
    <v>Euro/UK Pound Sterling FX Cross Rate</v>
    <v>0.87329999999999997</v>
    <v>0.87329999999999997</v>
    <v>0.873</v>
    <v>EURGBP</v>
    <v>EUR/GBP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m/d/yyyy\ h:mm"/>
    </x:dxf>
    <x:dxf>
      <x:numFmt numFmtId="14" formatCode="0.00%"/>
    </x:dxf>
  </dxfs>
  <richProperties>
    <rPr n="NumberFormat" t="s"/>
    <rPr n="IsTitleField" t="b"/>
  </richProperties>
  <richStyles>
    <rSty dxfid="1">
      <rpv i="0">_-[$£-en-GB]* #,##0.00_-;-[$£-en-GB]* #,##0.00_-;_-[$£-en-GB]* "-"??_-;_-@_-</rpv>
    </rSty>
    <rSty>
      <rpv i="1">1</rpv>
    </rSty>
    <rSty dxfid="3"/>
    <rSty dxfid="2"/>
    <rSty dxfid="0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8AD0-E651-4AF4-983D-9C27AE9E0CF6}">
  <dimension ref="A1:L32"/>
  <sheetViews>
    <sheetView workbookViewId="0">
      <selection activeCell="H38" sqref="H38"/>
    </sheetView>
  </sheetViews>
  <sheetFormatPr defaultRowHeight="15"/>
  <cols>
    <col min="1" max="1" width="6.140625" style="1" customWidth="1"/>
    <col min="2" max="2" width="81.7109375" style="2" customWidth="1"/>
    <col min="3" max="3" width="32.7109375" style="2" customWidth="1"/>
    <col min="4" max="4" width="51.140625" style="2" customWidth="1"/>
    <col min="5" max="5" width="14.85546875" hidden="1" customWidth="1"/>
    <col min="6" max="6" width="9.140625" style="3"/>
    <col min="7" max="7" width="13.28515625" style="3" customWidth="1"/>
    <col min="8" max="8" width="17" style="3" customWidth="1"/>
    <col min="9" max="9" width="12.7109375" customWidth="1"/>
    <col min="10" max="10" width="13.140625" customWidth="1"/>
    <col min="11" max="12" width="0" hidden="1" customWidth="1"/>
  </cols>
  <sheetData>
    <row r="1" spans="1:12">
      <c r="G1" s="22" t="s">
        <v>0</v>
      </c>
      <c r="H1" s="22"/>
      <c r="I1" s="22" t="s">
        <v>1</v>
      </c>
      <c r="J1" s="22"/>
    </row>
    <row r="2" spans="1:12" s="7" customFormat="1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  <c r="F2" s="8" t="s">
        <v>7</v>
      </c>
      <c r="G2" s="8" t="s">
        <v>8</v>
      </c>
      <c r="H2" s="8" t="s">
        <v>9</v>
      </c>
      <c r="I2" s="8" t="s">
        <v>8</v>
      </c>
      <c r="J2" s="8" t="s">
        <v>9</v>
      </c>
    </row>
    <row r="3" spans="1:12">
      <c r="A3" s="1">
        <v>1</v>
      </c>
      <c r="B3" s="2" t="s">
        <v>10</v>
      </c>
      <c r="C3" s="2" t="s">
        <v>11</v>
      </c>
      <c r="D3" s="2" t="s">
        <v>12</v>
      </c>
      <c r="E3" t="s">
        <v>13</v>
      </c>
      <c r="F3" s="3">
        <v>1</v>
      </c>
      <c r="G3" s="4">
        <v>15.45</v>
      </c>
      <c r="H3" s="4">
        <f>F3*G3</f>
        <v>15.45</v>
      </c>
      <c r="I3" s="10">
        <f ca="1">G3*L3</f>
        <v>13.48785</v>
      </c>
      <c r="J3" s="10">
        <f ca="1">H3*L3</f>
        <v>13.48785</v>
      </c>
      <c r="K3" t="e" vm="1">
        <v>#VALUE!</v>
      </c>
      <c r="L3" s="9" cm="1">
        <f t="array" aca="1" ref="L3" ca="1">_FV(K3,"Price")</f>
        <v>0.873</v>
      </c>
    </row>
    <row r="4" spans="1:12">
      <c r="A4" s="1">
        <v>2</v>
      </c>
      <c r="B4" s="2" t="s">
        <v>14</v>
      </c>
      <c r="C4" s="2" t="s">
        <v>15</v>
      </c>
      <c r="D4" s="2" t="s">
        <v>16</v>
      </c>
      <c r="E4" t="s">
        <v>13</v>
      </c>
      <c r="F4" s="3">
        <v>1</v>
      </c>
      <c r="G4" s="4">
        <v>0.33</v>
      </c>
      <c r="H4" s="4">
        <f t="shared" ref="H4:H31" si="0">F4*G4</f>
        <v>0.33</v>
      </c>
      <c r="I4" s="10">
        <f t="shared" ref="I4:I32" ca="1" si="1">G4*L4</f>
        <v>0.28809000000000001</v>
      </c>
      <c r="J4" s="10">
        <f t="shared" ref="J4:J32" ca="1" si="2">H4*L4</f>
        <v>0.28809000000000001</v>
      </c>
      <c r="K4" t="e" vm="1">
        <v>#VALUE!</v>
      </c>
      <c r="L4" s="9" cm="1">
        <f t="array" aca="1" ref="L4" ca="1">_FV(K4,"Price")</f>
        <v>0.873</v>
      </c>
    </row>
    <row r="5" spans="1:12">
      <c r="A5" s="1">
        <v>3</v>
      </c>
      <c r="B5" s="2" t="s">
        <v>17</v>
      </c>
      <c r="C5" s="2" t="s">
        <v>18</v>
      </c>
      <c r="D5" s="2" t="s">
        <v>19</v>
      </c>
      <c r="E5" t="s">
        <v>13</v>
      </c>
      <c r="F5" s="3">
        <v>1</v>
      </c>
      <c r="G5" s="4">
        <v>3.15</v>
      </c>
      <c r="H5" s="4">
        <f t="shared" si="0"/>
        <v>3.15</v>
      </c>
      <c r="I5" s="10">
        <f t="shared" ca="1" si="1"/>
        <v>2.7499500000000001</v>
      </c>
      <c r="J5" s="10">
        <f t="shared" ca="1" si="2"/>
        <v>2.7499500000000001</v>
      </c>
      <c r="K5" t="e" vm="1">
        <v>#VALUE!</v>
      </c>
      <c r="L5" s="9" cm="1">
        <f t="array" aca="1" ref="L5" ca="1">_FV(K5,"Price")</f>
        <v>0.873</v>
      </c>
    </row>
    <row r="6" spans="1:12">
      <c r="A6" s="1">
        <v>4</v>
      </c>
      <c r="B6" s="2" t="s">
        <v>17</v>
      </c>
      <c r="C6" s="2" t="s">
        <v>20</v>
      </c>
      <c r="D6" s="2" t="s">
        <v>19</v>
      </c>
      <c r="E6" t="s">
        <v>13</v>
      </c>
      <c r="F6" s="3">
        <v>1</v>
      </c>
      <c r="G6" s="4">
        <v>3.3</v>
      </c>
      <c r="H6" s="4">
        <f t="shared" si="0"/>
        <v>3.3</v>
      </c>
      <c r="I6" s="10">
        <f t="shared" ca="1" si="1"/>
        <v>2.8809</v>
      </c>
      <c r="J6" s="10">
        <f t="shared" ca="1" si="2"/>
        <v>2.8809</v>
      </c>
      <c r="K6" t="e" vm="1">
        <v>#VALUE!</v>
      </c>
      <c r="L6" s="9" cm="1">
        <f t="array" aca="1" ref="L6" ca="1">_FV(K6,"Price")</f>
        <v>0.873</v>
      </c>
    </row>
    <row r="7" spans="1:12">
      <c r="A7" s="1">
        <v>5</v>
      </c>
      <c r="B7" s="2" t="s">
        <v>17</v>
      </c>
      <c r="C7" s="2" t="s">
        <v>21</v>
      </c>
      <c r="D7" s="2" t="s">
        <v>19</v>
      </c>
      <c r="E7" t="s">
        <v>13</v>
      </c>
      <c r="F7" s="3">
        <v>1</v>
      </c>
      <c r="G7" s="4">
        <v>3.18</v>
      </c>
      <c r="H7" s="4">
        <f t="shared" si="0"/>
        <v>3.18</v>
      </c>
      <c r="I7" s="10">
        <f t="shared" ca="1" si="1"/>
        <v>2.7761400000000003</v>
      </c>
      <c r="J7" s="10">
        <f t="shared" ca="1" si="2"/>
        <v>2.7761400000000003</v>
      </c>
      <c r="K7" t="e" vm="1">
        <v>#VALUE!</v>
      </c>
      <c r="L7" s="9" cm="1">
        <f t="array" aca="1" ref="L7" ca="1">_FV(K7,"Price")</f>
        <v>0.873</v>
      </c>
    </row>
    <row r="8" spans="1:12">
      <c r="A8" s="1">
        <v>6</v>
      </c>
      <c r="B8" s="2" t="s">
        <v>22</v>
      </c>
      <c r="C8" s="2" t="s">
        <v>23</v>
      </c>
      <c r="D8" s="2" t="s">
        <v>24</v>
      </c>
      <c r="E8" t="s">
        <v>13</v>
      </c>
      <c r="F8" s="3">
        <v>1</v>
      </c>
      <c r="G8" s="4">
        <v>1.65</v>
      </c>
      <c r="H8" s="4">
        <f t="shared" si="0"/>
        <v>1.65</v>
      </c>
      <c r="I8" s="10">
        <f t="shared" ca="1" si="1"/>
        <v>1.44045</v>
      </c>
      <c r="J8" s="10">
        <f t="shared" ca="1" si="2"/>
        <v>1.44045</v>
      </c>
      <c r="K8" t="e" vm="1">
        <v>#VALUE!</v>
      </c>
      <c r="L8" s="9" cm="1">
        <f t="array" aca="1" ref="L8" ca="1">_FV(K8,"Price")</f>
        <v>0.873</v>
      </c>
    </row>
    <row r="9" spans="1:12">
      <c r="A9" s="1">
        <v>7</v>
      </c>
      <c r="B9" s="2" t="s">
        <v>25</v>
      </c>
      <c r="C9" s="2" t="s">
        <v>26</v>
      </c>
      <c r="D9" s="2" t="s">
        <v>27</v>
      </c>
      <c r="E9" t="s">
        <v>13</v>
      </c>
      <c r="F9" s="3">
        <v>2</v>
      </c>
      <c r="G9" s="4">
        <v>1.61</v>
      </c>
      <c r="H9" s="4">
        <f t="shared" si="0"/>
        <v>3.22</v>
      </c>
      <c r="I9" s="10">
        <f t="shared" ca="1" si="1"/>
        <v>1.4055300000000002</v>
      </c>
      <c r="J9" s="10">
        <f t="shared" ca="1" si="2"/>
        <v>2.8110600000000003</v>
      </c>
      <c r="K9" t="e" vm="1">
        <v>#VALUE!</v>
      </c>
      <c r="L9" s="9" cm="1">
        <f t="array" aca="1" ref="L9" ca="1">_FV(K9,"Price")</f>
        <v>0.873</v>
      </c>
    </row>
    <row r="10" spans="1:12">
      <c r="A10" s="1">
        <v>8</v>
      </c>
      <c r="B10" s="2" t="s">
        <v>28</v>
      </c>
      <c r="C10" s="2" t="s">
        <v>29</v>
      </c>
      <c r="D10" s="2" t="s">
        <v>30</v>
      </c>
      <c r="E10" t="s">
        <v>13</v>
      </c>
      <c r="F10" s="3">
        <v>2</v>
      </c>
      <c r="G10" s="4">
        <v>1.76</v>
      </c>
      <c r="H10" s="4">
        <f t="shared" si="0"/>
        <v>3.52</v>
      </c>
      <c r="I10" s="10">
        <f t="shared" ca="1" si="1"/>
        <v>1.5364800000000001</v>
      </c>
      <c r="J10" s="10">
        <f t="shared" ca="1" si="2"/>
        <v>3.0729600000000001</v>
      </c>
      <c r="K10" t="e" vm="1">
        <v>#VALUE!</v>
      </c>
      <c r="L10" s="9" cm="1">
        <f t="array" aca="1" ref="L10" ca="1">_FV(K10,"Price")</f>
        <v>0.873</v>
      </c>
    </row>
    <row r="11" spans="1:12">
      <c r="A11" s="1">
        <v>9</v>
      </c>
      <c r="B11" s="2" t="s">
        <v>31</v>
      </c>
      <c r="C11" s="2" t="s">
        <v>32</v>
      </c>
      <c r="D11" s="2" t="s">
        <v>33</v>
      </c>
      <c r="E11" t="s">
        <v>13</v>
      </c>
      <c r="F11" s="3">
        <v>1</v>
      </c>
      <c r="G11" s="4">
        <v>40.11</v>
      </c>
      <c r="H11" s="4">
        <f t="shared" si="0"/>
        <v>40.11</v>
      </c>
      <c r="I11" s="10">
        <f t="shared" ca="1" si="1"/>
        <v>35.016030000000001</v>
      </c>
      <c r="J11" s="10">
        <f t="shared" ca="1" si="2"/>
        <v>35.016030000000001</v>
      </c>
      <c r="K11" t="e" vm="1">
        <v>#VALUE!</v>
      </c>
      <c r="L11" s="9" cm="1">
        <f t="array" aca="1" ref="L11" ca="1">_FV(K11,"Price")</f>
        <v>0.873</v>
      </c>
    </row>
    <row r="12" spans="1:12">
      <c r="A12" s="1">
        <v>10</v>
      </c>
      <c r="B12" s="2" t="s">
        <v>34</v>
      </c>
      <c r="C12" s="2" t="s">
        <v>35</v>
      </c>
      <c r="D12" s="2" t="s">
        <v>36</v>
      </c>
      <c r="E12" t="s">
        <v>13</v>
      </c>
      <c r="F12" s="3">
        <v>1</v>
      </c>
      <c r="G12" s="4">
        <v>1.79</v>
      </c>
      <c r="H12" s="4">
        <f t="shared" si="0"/>
        <v>1.79</v>
      </c>
      <c r="I12" s="10">
        <f t="shared" ca="1" si="1"/>
        <v>1.56267</v>
      </c>
      <c r="J12" s="10">
        <f t="shared" ca="1" si="2"/>
        <v>1.56267</v>
      </c>
      <c r="K12" t="e" vm="1">
        <v>#VALUE!</v>
      </c>
      <c r="L12" s="9" cm="1">
        <f t="array" aca="1" ref="L12" ca="1">_FV(K12,"Price")</f>
        <v>0.873</v>
      </c>
    </row>
    <row r="13" spans="1:12">
      <c r="A13" s="1">
        <v>11</v>
      </c>
      <c r="B13" s="2" t="s">
        <v>37</v>
      </c>
      <c r="C13" s="2" t="s">
        <v>38</v>
      </c>
      <c r="D13" s="2" t="s">
        <v>39</v>
      </c>
      <c r="E13" t="s">
        <v>13</v>
      </c>
      <c r="F13" s="3">
        <v>1</v>
      </c>
      <c r="G13" s="4">
        <v>3.98</v>
      </c>
      <c r="H13" s="4">
        <f t="shared" si="0"/>
        <v>3.98</v>
      </c>
      <c r="I13" s="10">
        <f t="shared" ca="1" si="1"/>
        <v>3.4745400000000002</v>
      </c>
      <c r="J13" s="10">
        <f t="shared" ca="1" si="2"/>
        <v>3.4745400000000002</v>
      </c>
      <c r="K13" t="e" vm="1">
        <v>#VALUE!</v>
      </c>
      <c r="L13" s="9" cm="1">
        <f t="array" aca="1" ref="L13" ca="1">_FV(K13,"Price")</f>
        <v>0.873</v>
      </c>
    </row>
    <row r="14" spans="1:12">
      <c r="A14" s="1">
        <v>12</v>
      </c>
      <c r="B14" s="2" t="s">
        <v>40</v>
      </c>
      <c r="C14" s="2" t="s">
        <v>41</v>
      </c>
      <c r="D14" s="2" t="s">
        <v>42</v>
      </c>
      <c r="E14" t="s">
        <v>13</v>
      </c>
      <c r="F14" s="3">
        <v>1</v>
      </c>
      <c r="G14" s="4">
        <v>2.71</v>
      </c>
      <c r="H14" s="4">
        <f t="shared" si="0"/>
        <v>2.71</v>
      </c>
      <c r="I14" s="10">
        <f t="shared" ca="1" si="1"/>
        <v>2.3658299999999999</v>
      </c>
      <c r="J14" s="10">
        <f t="shared" ca="1" si="2"/>
        <v>2.3658299999999999</v>
      </c>
      <c r="K14" t="e" vm="1">
        <v>#VALUE!</v>
      </c>
      <c r="L14" s="9" cm="1">
        <f t="array" aca="1" ref="L14" ca="1">_FV(K14,"Price")</f>
        <v>0.873</v>
      </c>
    </row>
    <row r="15" spans="1:12">
      <c r="A15" s="1">
        <v>13</v>
      </c>
      <c r="B15" s="2" t="s">
        <v>43</v>
      </c>
      <c r="C15" s="2" t="s">
        <v>44</v>
      </c>
      <c r="D15" s="2" t="s">
        <v>45</v>
      </c>
      <c r="E15" t="s">
        <v>13</v>
      </c>
      <c r="F15" s="3">
        <v>1</v>
      </c>
      <c r="G15" s="4">
        <v>1.91</v>
      </c>
      <c r="H15" s="4">
        <f t="shared" si="0"/>
        <v>1.91</v>
      </c>
      <c r="I15" s="10">
        <f t="shared" ca="1" si="1"/>
        <v>1.66743</v>
      </c>
      <c r="J15" s="10">
        <f t="shared" ca="1" si="2"/>
        <v>1.66743</v>
      </c>
      <c r="K15" t="e" vm="1">
        <v>#VALUE!</v>
      </c>
      <c r="L15" s="9" cm="1">
        <f t="array" aca="1" ref="L15" ca="1">_FV(K15,"Price")</f>
        <v>0.873</v>
      </c>
    </row>
    <row r="16" spans="1:12">
      <c r="A16" s="1">
        <v>14</v>
      </c>
      <c r="B16" s="2" t="s">
        <v>46</v>
      </c>
      <c r="C16" s="2" t="s">
        <v>47</v>
      </c>
      <c r="D16" s="2" t="s">
        <v>48</v>
      </c>
      <c r="E16" t="s">
        <v>13</v>
      </c>
      <c r="F16" s="3">
        <v>2</v>
      </c>
      <c r="G16" s="4">
        <v>1.72</v>
      </c>
      <c r="H16" s="4">
        <f t="shared" si="0"/>
        <v>3.44</v>
      </c>
      <c r="I16" s="10">
        <f t="shared" ca="1" si="1"/>
        <v>1.50156</v>
      </c>
      <c r="J16" s="10">
        <f t="shared" ca="1" si="2"/>
        <v>3.00312</v>
      </c>
      <c r="K16" t="e" vm="1">
        <v>#VALUE!</v>
      </c>
      <c r="L16" s="9" cm="1">
        <f t="array" aca="1" ref="L16" ca="1">_FV(K16,"Price")</f>
        <v>0.873</v>
      </c>
    </row>
    <row r="17" spans="1:12">
      <c r="A17" s="1">
        <v>15</v>
      </c>
      <c r="B17" s="2" t="s">
        <v>49</v>
      </c>
      <c r="C17" s="2" t="s">
        <v>50</v>
      </c>
      <c r="D17" s="2" t="s">
        <v>51</v>
      </c>
      <c r="E17" t="s">
        <v>13</v>
      </c>
      <c r="F17" s="3">
        <v>1</v>
      </c>
      <c r="G17" s="4">
        <v>4.05</v>
      </c>
      <c r="H17" s="4">
        <f t="shared" si="0"/>
        <v>4.05</v>
      </c>
      <c r="I17" s="10">
        <f t="shared" ca="1" si="1"/>
        <v>3.53565</v>
      </c>
      <c r="J17" s="10">
        <f t="shared" ca="1" si="2"/>
        <v>3.53565</v>
      </c>
      <c r="K17" t="e" vm="1">
        <v>#VALUE!</v>
      </c>
      <c r="L17" s="9" cm="1">
        <f t="array" aca="1" ref="L17" ca="1">_FV(K17,"Price")</f>
        <v>0.873</v>
      </c>
    </row>
    <row r="18" spans="1:12">
      <c r="A18" s="1">
        <v>16</v>
      </c>
      <c r="B18" s="2" t="s">
        <v>52</v>
      </c>
      <c r="C18" s="2" t="s">
        <v>53</v>
      </c>
      <c r="D18" s="2" t="s">
        <v>54</v>
      </c>
      <c r="E18" t="s">
        <v>13</v>
      </c>
      <c r="F18" s="3">
        <v>1</v>
      </c>
      <c r="G18" s="4">
        <v>27.8</v>
      </c>
      <c r="H18" s="4">
        <f t="shared" si="0"/>
        <v>27.8</v>
      </c>
      <c r="I18" s="10">
        <f t="shared" ca="1" si="1"/>
        <v>24.269400000000001</v>
      </c>
      <c r="J18" s="10">
        <f t="shared" ca="1" si="2"/>
        <v>24.269400000000001</v>
      </c>
      <c r="K18" t="e" vm="1">
        <v>#VALUE!</v>
      </c>
      <c r="L18" s="9" cm="1">
        <f t="array" aca="1" ref="L18" ca="1">_FV(K18,"Price")</f>
        <v>0.873</v>
      </c>
    </row>
    <row r="19" spans="1:12">
      <c r="A19" s="1">
        <v>17</v>
      </c>
      <c r="B19" s="2" t="s">
        <v>55</v>
      </c>
      <c r="C19" s="2" t="s">
        <v>56</v>
      </c>
      <c r="D19" s="2" t="s">
        <v>57</v>
      </c>
      <c r="E19" t="s">
        <v>13</v>
      </c>
      <c r="F19" s="3">
        <v>2</v>
      </c>
      <c r="G19" s="4">
        <v>3.51</v>
      </c>
      <c r="H19" s="4">
        <f t="shared" si="0"/>
        <v>7.02</v>
      </c>
      <c r="I19" s="10">
        <f t="shared" ca="1" si="1"/>
        <v>3.0642299999999998</v>
      </c>
      <c r="J19" s="10">
        <f t="shared" ca="1" si="2"/>
        <v>6.1284599999999996</v>
      </c>
      <c r="K19" t="e" vm="1">
        <v>#VALUE!</v>
      </c>
      <c r="L19" s="9" cm="1">
        <f t="array" aca="1" ref="L19" ca="1">_FV(K19,"Price")</f>
        <v>0.873</v>
      </c>
    </row>
    <row r="20" spans="1:12">
      <c r="A20" s="1">
        <v>18</v>
      </c>
      <c r="B20" s="2" t="s">
        <v>58</v>
      </c>
      <c r="C20" s="2" t="s">
        <v>59</v>
      </c>
      <c r="D20" s="2" t="s">
        <v>60</v>
      </c>
      <c r="E20" t="s">
        <v>13</v>
      </c>
      <c r="F20" s="3">
        <v>2</v>
      </c>
      <c r="G20" s="4">
        <v>2.2599999999999998</v>
      </c>
      <c r="H20" s="4">
        <f t="shared" si="0"/>
        <v>4.5199999999999996</v>
      </c>
      <c r="I20" s="10">
        <f t="shared" ca="1" si="1"/>
        <v>1.9729799999999997</v>
      </c>
      <c r="J20" s="10">
        <f t="shared" ca="1" si="2"/>
        <v>3.9459599999999995</v>
      </c>
      <c r="K20" t="e" vm="1">
        <v>#VALUE!</v>
      </c>
      <c r="L20" s="9" cm="1">
        <f t="array" aca="1" ref="L20" ca="1">_FV(K20,"Price")</f>
        <v>0.873</v>
      </c>
    </row>
    <row r="21" spans="1:12">
      <c r="A21" s="1">
        <v>19</v>
      </c>
      <c r="B21" s="2" t="s">
        <v>61</v>
      </c>
      <c r="C21" s="2" t="s">
        <v>62</v>
      </c>
      <c r="D21" s="2" t="s">
        <v>63</v>
      </c>
      <c r="E21" t="s">
        <v>13</v>
      </c>
      <c r="F21" s="3">
        <v>4</v>
      </c>
      <c r="G21" s="4">
        <v>1.58</v>
      </c>
      <c r="H21" s="4">
        <f t="shared" si="0"/>
        <v>6.32</v>
      </c>
      <c r="I21" s="10">
        <f t="shared" ca="1" si="1"/>
        <v>1.37934</v>
      </c>
      <c r="J21" s="10">
        <f t="shared" ca="1" si="2"/>
        <v>5.51736</v>
      </c>
      <c r="K21" t="e" vm="1">
        <v>#VALUE!</v>
      </c>
      <c r="L21" s="9" cm="1">
        <f t="array" aca="1" ref="L21" ca="1">_FV(K21,"Price")</f>
        <v>0.873</v>
      </c>
    </row>
    <row r="22" spans="1:12">
      <c r="A22" s="1">
        <v>20</v>
      </c>
      <c r="B22" s="2" t="s">
        <v>64</v>
      </c>
      <c r="C22" s="2" t="s">
        <v>65</v>
      </c>
      <c r="D22" s="2" t="s">
        <v>66</v>
      </c>
      <c r="E22" t="s">
        <v>13</v>
      </c>
      <c r="F22" s="3">
        <v>2</v>
      </c>
      <c r="G22" s="4">
        <v>45</v>
      </c>
      <c r="H22" s="4">
        <f t="shared" si="0"/>
        <v>90</v>
      </c>
      <c r="I22" s="10">
        <f t="shared" ca="1" si="1"/>
        <v>39.284999999999997</v>
      </c>
      <c r="J22" s="10">
        <f t="shared" ca="1" si="2"/>
        <v>78.569999999999993</v>
      </c>
      <c r="K22" t="e" vm="1">
        <v>#VALUE!</v>
      </c>
      <c r="L22" s="9" cm="1">
        <f t="array" aca="1" ref="L22" ca="1">_FV(K22,"Price")</f>
        <v>0.873</v>
      </c>
    </row>
    <row r="23" spans="1:12">
      <c r="A23" s="1">
        <v>21</v>
      </c>
      <c r="B23" s="2" t="s">
        <v>67</v>
      </c>
      <c r="C23" s="2" t="s">
        <v>68</v>
      </c>
      <c r="D23" s="2" t="s">
        <v>69</v>
      </c>
      <c r="E23" t="s">
        <v>13</v>
      </c>
      <c r="F23" s="3">
        <v>1</v>
      </c>
      <c r="G23" s="4">
        <v>2.25</v>
      </c>
      <c r="H23" s="4">
        <f t="shared" si="0"/>
        <v>2.25</v>
      </c>
      <c r="I23" s="10">
        <f t="shared" ca="1" si="1"/>
        <v>1.9642500000000001</v>
      </c>
      <c r="J23" s="10">
        <f t="shared" ca="1" si="2"/>
        <v>1.9642500000000001</v>
      </c>
      <c r="K23" t="e" vm="1">
        <v>#VALUE!</v>
      </c>
      <c r="L23" s="9" cm="1">
        <f t="array" aca="1" ref="L23" ca="1">_FV(K23,"Price")</f>
        <v>0.873</v>
      </c>
    </row>
    <row r="24" spans="1:12">
      <c r="A24" s="1">
        <v>22</v>
      </c>
      <c r="B24" s="2" t="s">
        <v>70</v>
      </c>
      <c r="C24" s="2" t="s">
        <v>71</v>
      </c>
      <c r="D24" s="2" t="s">
        <v>72</v>
      </c>
      <c r="E24" t="s">
        <v>13</v>
      </c>
      <c r="F24" s="3">
        <v>1</v>
      </c>
      <c r="G24" s="4">
        <v>50.99</v>
      </c>
      <c r="H24" s="4">
        <f t="shared" si="0"/>
        <v>50.99</v>
      </c>
      <c r="I24" s="10">
        <f t="shared" ca="1" si="1"/>
        <v>44.514270000000003</v>
      </c>
      <c r="J24" s="10">
        <f t="shared" ca="1" si="2"/>
        <v>44.514270000000003</v>
      </c>
      <c r="K24" t="e" vm="1">
        <v>#VALUE!</v>
      </c>
      <c r="L24" s="9" cm="1">
        <f t="array" aca="1" ref="L24" ca="1">_FV(K24,"Price")</f>
        <v>0.873</v>
      </c>
    </row>
    <row r="25" spans="1:12">
      <c r="A25" s="1">
        <v>23</v>
      </c>
      <c r="B25" s="2" t="s">
        <v>73</v>
      </c>
      <c r="C25" s="2" t="s">
        <v>74</v>
      </c>
      <c r="D25" s="2" t="s">
        <v>75</v>
      </c>
      <c r="E25" t="s">
        <v>13</v>
      </c>
      <c r="F25" s="3">
        <v>1</v>
      </c>
      <c r="G25" s="4">
        <v>37.67</v>
      </c>
      <c r="H25" s="4">
        <f t="shared" si="0"/>
        <v>37.67</v>
      </c>
      <c r="I25" s="10">
        <f t="shared" ca="1" si="1"/>
        <v>32.885910000000003</v>
      </c>
      <c r="J25" s="10">
        <f t="shared" ca="1" si="2"/>
        <v>32.885910000000003</v>
      </c>
      <c r="K25" t="e" vm="1">
        <v>#VALUE!</v>
      </c>
      <c r="L25" s="9" cm="1">
        <f t="array" aca="1" ref="L25" ca="1">_FV(K25,"Price")</f>
        <v>0.873</v>
      </c>
    </row>
    <row r="26" spans="1:12">
      <c r="A26" s="1">
        <v>24</v>
      </c>
      <c r="B26" s="2" t="s">
        <v>76</v>
      </c>
      <c r="C26" s="2" t="s">
        <v>77</v>
      </c>
      <c r="D26" s="2" t="s">
        <v>78</v>
      </c>
      <c r="E26" t="s">
        <v>13</v>
      </c>
      <c r="F26" s="3">
        <v>1</v>
      </c>
      <c r="G26" s="4">
        <v>17.850000000000001</v>
      </c>
      <c r="H26" s="4">
        <f t="shared" si="0"/>
        <v>17.850000000000001</v>
      </c>
      <c r="I26" s="10">
        <f t="shared" ca="1" si="1"/>
        <v>15.583050000000002</v>
      </c>
      <c r="J26" s="10">
        <f t="shared" ca="1" si="2"/>
        <v>15.583050000000002</v>
      </c>
      <c r="K26" t="e" vm="1">
        <v>#VALUE!</v>
      </c>
      <c r="L26" s="9" cm="1">
        <f t="array" aca="1" ref="L26" ca="1">_FV(K26,"Price")</f>
        <v>0.873</v>
      </c>
    </row>
    <row r="27" spans="1:12">
      <c r="A27" s="1">
        <v>25</v>
      </c>
      <c r="B27" s="2" t="s">
        <v>79</v>
      </c>
      <c r="C27" s="2" t="s">
        <v>80</v>
      </c>
      <c r="D27" s="2" t="s">
        <v>81</v>
      </c>
      <c r="E27" t="s">
        <v>13</v>
      </c>
      <c r="F27" s="3">
        <v>1</v>
      </c>
      <c r="G27" s="4">
        <v>3.88</v>
      </c>
      <c r="H27" s="4">
        <f t="shared" si="0"/>
        <v>3.88</v>
      </c>
      <c r="I27" s="10">
        <f t="shared" ca="1" si="1"/>
        <v>3.3872399999999998</v>
      </c>
      <c r="J27" s="10">
        <f t="shared" ca="1" si="2"/>
        <v>3.3872399999999998</v>
      </c>
      <c r="K27" t="e" vm="1">
        <v>#VALUE!</v>
      </c>
      <c r="L27" s="9" cm="1">
        <f t="array" aca="1" ref="L27" ca="1">_FV(K27,"Price")</f>
        <v>0.873</v>
      </c>
    </row>
    <row r="28" spans="1:12">
      <c r="A28" s="1">
        <v>26</v>
      </c>
      <c r="B28" s="2" t="s">
        <v>82</v>
      </c>
      <c r="C28" s="2" t="s">
        <v>83</v>
      </c>
      <c r="D28" s="2" t="s">
        <v>84</v>
      </c>
      <c r="E28" t="s">
        <v>13</v>
      </c>
      <c r="F28" s="3">
        <v>1</v>
      </c>
      <c r="G28" s="4">
        <v>5.14</v>
      </c>
      <c r="H28" s="4">
        <f t="shared" si="0"/>
        <v>5.14</v>
      </c>
      <c r="I28" s="10">
        <f t="shared" ca="1" si="1"/>
        <v>4.4872199999999998</v>
      </c>
      <c r="J28" s="10">
        <f t="shared" ca="1" si="2"/>
        <v>4.4872199999999998</v>
      </c>
      <c r="K28" t="e" vm="1">
        <v>#VALUE!</v>
      </c>
      <c r="L28" s="9" cm="1">
        <f t="array" aca="1" ref="L28" ca="1">_FV(K28,"Price")</f>
        <v>0.873</v>
      </c>
    </row>
    <row r="29" spans="1:12">
      <c r="A29" s="1">
        <v>27</v>
      </c>
      <c r="B29" s="2" t="s">
        <v>85</v>
      </c>
      <c r="C29" s="2" t="s">
        <v>86</v>
      </c>
      <c r="D29" s="2" t="s">
        <v>87</v>
      </c>
      <c r="E29" t="s">
        <v>13</v>
      </c>
      <c r="F29" s="3">
        <v>2</v>
      </c>
      <c r="G29" s="4">
        <v>2.5099999999999998</v>
      </c>
      <c r="H29" s="4">
        <f t="shared" si="0"/>
        <v>5.0199999999999996</v>
      </c>
      <c r="I29" s="10">
        <f t="shared" ca="1" si="1"/>
        <v>2.19123</v>
      </c>
      <c r="J29" s="10">
        <f t="shared" ca="1" si="2"/>
        <v>4.38246</v>
      </c>
      <c r="K29" t="e" vm="1">
        <v>#VALUE!</v>
      </c>
      <c r="L29" s="9" cm="1">
        <f t="array" aca="1" ref="L29" ca="1">_FV(K29,"Price")</f>
        <v>0.873</v>
      </c>
    </row>
    <row r="30" spans="1:12">
      <c r="A30" s="1">
        <v>28</v>
      </c>
      <c r="B30" s="2" t="s">
        <v>88</v>
      </c>
      <c r="C30" s="2" t="s">
        <v>89</v>
      </c>
      <c r="D30" s="2" t="s">
        <v>90</v>
      </c>
      <c r="E30" t="s">
        <v>13</v>
      </c>
      <c r="F30" s="3">
        <v>1</v>
      </c>
      <c r="G30" s="4">
        <v>3.98</v>
      </c>
      <c r="H30" s="4">
        <f t="shared" si="0"/>
        <v>3.98</v>
      </c>
      <c r="I30" s="10">
        <f t="shared" ca="1" si="1"/>
        <v>3.4745400000000002</v>
      </c>
      <c r="J30" s="10">
        <f t="shared" ca="1" si="2"/>
        <v>3.4745400000000002</v>
      </c>
      <c r="K30" t="e" vm="1">
        <v>#VALUE!</v>
      </c>
      <c r="L30" s="9" cm="1">
        <f t="array" aca="1" ref="L30" ca="1">_FV(K30,"Price")</f>
        <v>0.873</v>
      </c>
    </row>
    <row r="31" spans="1:12" ht="15.75" thickBot="1">
      <c r="A31" s="1">
        <v>29</v>
      </c>
      <c r="B31" s="2" t="s">
        <v>91</v>
      </c>
      <c r="C31" s="2" t="s">
        <v>92</v>
      </c>
      <c r="D31" s="2" t="s">
        <v>93</v>
      </c>
      <c r="E31" t="s">
        <v>13</v>
      </c>
      <c r="F31" s="11">
        <v>1</v>
      </c>
      <c r="G31" s="12">
        <v>2.9</v>
      </c>
      <c r="H31" s="12">
        <f t="shared" si="0"/>
        <v>2.9</v>
      </c>
      <c r="I31" s="13">
        <f t="shared" ca="1" si="1"/>
        <v>2.5316999999999998</v>
      </c>
      <c r="J31" s="13">
        <f t="shared" ca="1" si="2"/>
        <v>2.5316999999999998</v>
      </c>
      <c r="K31" t="e" vm="1">
        <v>#VALUE!</v>
      </c>
      <c r="L31" s="9" cm="1">
        <f t="array" aca="1" ref="L31" ca="1">_FV(K31,"Price")</f>
        <v>0.873</v>
      </c>
    </row>
    <row r="32" spans="1:12" ht="15.75" thickTop="1">
      <c r="F32" s="3">
        <f>SUM(F3:F31)</f>
        <v>39</v>
      </c>
      <c r="G32" s="4">
        <f t="shared" ref="G32:H32" si="3">SUM(G3:G31)</f>
        <v>294.02</v>
      </c>
      <c r="H32" s="4">
        <f t="shared" si="3"/>
        <v>357.13</v>
      </c>
      <c r="I32" s="10">
        <f t="shared" ref="I32" ca="1" si="4">G32*L32</f>
        <v>256.67946000000001</v>
      </c>
      <c r="J32" s="10">
        <f t="shared" ref="J32" ca="1" si="5">H32*L32</f>
        <v>311.77449000000001</v>
      </c>
      <c r="K32" t="e" vm="1">
        <v>#VALUE!</v>
      </c>
      <c r="L32" s="9" cm="1">
        <f t="array" aca="1" ref="L32" ca="1">_FV(K32,"Price")</f>
        <v>0.873</v>
      </c>
    </row>
  </sheetData>
  <mergeCells count="2">
    <mergeCell ref="G1:H1"/>
    <mergeCell ref="I1:J1"/>
  </mergeCells>
  <conditionalFormatting sqref="G3:G31">
    <cfRule type="colorScale" priority="2">
      <colorScale>
        <cfvo type="min"/>
        <cfvo type="max"/>
        <color rgb="FFFCFCFF"/>
        <color rgb="FFF8696B"/>
      </colorScale>
    </cfRule>
  </conditionalFormatting>
  <conditionalFormatting sqref="H3:H3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3A82-7F70-4E31-9541-B4471CF80EE2}">
  <dimension ref="A1:N34"/>
  <sheetViews>
    <sheetView tabSelected="1" topLeftCell="B23" workbookViewId="0">
      <selection activeCell="J34" sqref="J34"/>
    </sheetView>
  </sheetViews>
  <sheetFormatPr defaultRowHeight="15"/>
  <cols>
    <col min="1" max="1" width="6.140625" style="1" customWidth="1"/>
    <col min="2" max="2" width="81.7109375" style="2" customWidth="1"/>
    <col min="3" max="3" width="32.7109375" style="2" customWidth="1"/>
    <col min="4" max="4" width="51.140625" style="2" customWidth="1"/>
    <col min="5" max="5" width="14.85546875" hidden="1" customWidth="1"/>
    <col min="6" max="6" width="9.140625" style="3"/>
    <col min="7" max="7" width="13.28515625" style="3" customWidth="1"/>
    <col min="8" max="8" width="17" style="3" customWidth="1"/>
    <col min="9" max="9" width="12.7109375" customWidth="1"/>
    <col min="10" max="10" width="13.140625" customWidth="1"/>
    <col min="11" max="12" width="0" hidden="1" customWidth="1"/>
    <col min="13" max="13" width="32.140625" style="21" customWidth="1"/>
    <col min="14" max="14" width="60.5703125" style="20" customWidth="1"/>
  </cols>
  <sheetData>
    <row r="1" spans="1:14">
      <c r="M1" s="23" t="s">
        <v>94</v>
      </c>
      <c r="N1" s="24"/>
    </row>
    <row r="2" spans="1:14">
      <c r="G2" s="22" t="s">
        <v>0</v>
      </c>
      <c r="H2" s="22"/>
      <c r="I2" s="22" t="s">
        <v>1</v>
      </c>
      <c r="J2" s="22"/>
      <c r="M2" s="18" t="s">
        <v>95</v>
      </c>
      <c r="N2" s="18" t="s">
        <v>96</v>
      </c>
    </row>
    <row r="3" spans="1:14" s="7" customFormat="1">
      <c r="A3" s="5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8" t="s">
        <v>7</v>
      </c>
      <c r="G3" s="8" t="s">
        <v>8</v>
      </c>
      <c r="H3" s="8" t="s">
        <v>9</v>
      </c>
      <c r="I3" s="8" t="s">
        <v>8</v>
      </c>
      <c r="J3" s="8" t="s">
        <v>9</v>
      </c>
      <c r="M3" s="19"/>
      <c r="N3" s="19"/>
    </row>
    <row r="4" spans="1:14">
      <c r="A4" s="1">
        <v>1</v>
      </c>
      <c r="B4" s="14" t="s">
        <v>10</v>
      </c>
      <c r="C4" s="14" t="s">
        <v>11</v>
      </c>
      <c r="D4" s="14" t="s">
        <v>12</v>
      </c>
      <c r="E4" s="27" t="s">
        <v>13</v>
      </c>
      <c r="F4" s="15">
        <v>0</v>
      </c>
      <c r="G4" s="16">
        <v>15.45</v>
      </c>
      <c r="H4" s="16">
        <f>F4*G4</f>
        <v>0</v>
      </c>
      <c r="I4" s="17">
        <f ca="1">G4*L4</f>
        <v>13.48785</v>
      </c>
      <c r="J4" s="17">
        <f ca="1">H4*L4</f>
        <v>0</v>
      </c>
      <c r="K4" t="e" vm="1">
        <v>#VALUE!</v>
      </c>
      <c r="L4" s="9" cm="1">
        <f t="array" aca="1" ref="L4" ca="1">_FV(K4,"Price")</f>
        <v>0.873</v>
      </c>
      <c r="M4" s="20"/>
      <c r="N4" s="20" t="s">
        <v>97</v>
      </c>
    </row>
    <row r="5" spans="1:14">
      <c r="A5" s="1">
        <v>2</v>
      </c>
      <c r="B5" s="2" t="s">
        <v>14</v>
      </c>
      <c r="C5" s="2" t="s">
        <v>15</v>
      </c>
      <c r="D5" s="2" t="s">
        <v>16</v>
      </c>
      <c r="E5" t="s">
        <v>13</v>
      </c>
      <c r="F5" s="3">
        <v>1</v>
      </c>
      <c r="G5" s="4">
        <v>0.33</v>
      </c>
      <c r="H5" s="4">
        <f t="shared" ref="G5:H32" si="0">F5*G5</f>
        <v>0.33</v>
      </c>
      <c r="I5" s="10">
        <f t="shared" ref="I5:I33" ca="1" si="1">G5*L5</f>
        <v>0.28809000000000001</v>
      </c>
      <c r="J5" s="10">
        <f t="shared" ref="J5:J33" ca="1" si="2">H5*L5</f>
        <v>0.28809000000000001</v>
      </c>
      <c r="K5" t="e" vm="1">
        <v>#VALUE!</v>
      </c>
      <c r="L5" s="9" cm="1">
        <f t="array" aca="1" ref="L5" ca="1">_FV(K5,"Price")</f>
        <v>0.873</v>
      </c>
      <c r="M5" s="20"/>
    </row>
    <row r="6" spans="1:14">
      <c r="A6" s="1">
        <v>3</v>
      </c>
      <c r="B6" s="2" t="s">
        <v>17</v>
      </c>
      <c r="C6" s="2" t="s">
        <v>18</v>
      </c>
      <c r="D6" s="2" t="s">
        <v>19</v>
      </c>
      <c r="E6" t="s">
        <v>13</v>
      </c>
      <c r="F6" s="3">
        <v>1</v>
      </c>
      <c r="G6" s="4">
        <v>3.15</v>
      </c>
      <c r="H6" s="4">
        <f t="shared" si="0"/>
        <v>3.15</v>
      </c>
      <c r="I6" s="10">
        <f t="shared" ca="1" si="1"/>
        <v>2.7499500000000001</v>
      </c>
      <c r="J6" s="10">
        <f t="shared" ca="1" si="2"/>
        <v>2.7499500000000001</v>
      </c>
      <c r="K6" t="e" vm="1">
        <v>#VALUE!</v>
      </c>
      <c r="L6" s="9" cm="1">
        <f t="array" aca="1" ref="L6" ca="1">_FV(K6,"Price")</f>
        <v>0.873</v>
      </c>
      <c r="M6" s="20"/>
    </row>
    <row r="7" spans="1:14">
      <c r="A7" s="1">
        <v>4</v>
      </c>
      <c r="B7" s="2" t="s">
        <v>17</v>
      </c>
      <c r="C7" s="2" t="s">
        <v>20</v>
      </c>
      <c r="D7" s="2" t="s">
        <v>19</v>
      </c>
      <c r="E7" t="s">
        <v>13</v>
      </c>
      <c r="F7" s="3">
        <v>1</v>
      </c>
      <c r="G7" s="4">
        <v>3.3</v>
      </c>
      <c r="H7" s="4">
        <f t="shared" si="0"/>
        <v>3.3</v>
      </c>
      <c r="I7" s="10">
        <f t="shared" ca="1" si="1"/>
        <v>2.8809</v>
      </c>
      <c r="J7" s="10">
        <f t="shared" ca="1" si="2"/>
        <v>2.8809</v>
      </c>
      <c r="K7" t="e" vm="1">
        <v>#VALUE!</v>
      </c>
      <c r="L7" s="9" cm="1">
        <f t="array" aca="1" ref="L7" ca="1">_FV(K7,"Price")</f>
        <v>0.873</v>
      </c>
      <c r="M7" s="20"/>
    </row>
    <row r="8" spans="1:14">
      <c r="A8" s="1">
        <v>5</v>
      </c>
      <c r="B8" s="2" t="s">
        <v>17</v>
      </c>
      <c r="C8" s="2" t="s">
        <v>21</v>
      </c>
      <c r="D8" s="2" t="s">
        <v>19</v>
      </c>
      <c r="E8" t="s">
        <v>13</v>
      </c>
      <c r="F8" s="3">
        <v>1</v>
      </c>
      <c r="G8" s="4">
        <v>3.18</v>
      </c>
      <c r="H8" s="4">
        <f t="shared" si="0"/>
        <v>3.18</v>
      </c>
      <c r="I8" s="10">
        <f t="shared" ca="1" si="1"/>
        <v>2.7761400000000003</v>
      </c>
      <c r="J8" s="10">
        <f t="shared" ca="1" si="2"/>
        <v>2.7761400000000003</v>
      </c>
      <c r="K8" t="e" vm="1">
        <v>#VALUE!</v>
      </c>
      <c r="L8" s="9" cm="1">
        <f t="array" aca="1" ref="L8" ca="1">_FV(K8,"Price")</f>
        <v>0.873</v>
      </c>
      <c r="M8" s="20"/>
    </row>
    <row r="9" spans="1:14">
      <c r="A9" s="1">
        <v>6</v>
      </c>
      <c r="B9" s="2" t="s">
        <v>22</v>
      </c>
      <c r="C9" s="2" t="s">
        <v>23</v>
      </c>
      <c r="D9" s="2" t="s">
        <v>24</v>
      </c>
      <c r="E9" t="s">
        <v>13</v>
      </c>
      <c r="F9" s="3">
        <v>1</v>
      </c>
      <c r="G9" s="4">
        <v>1.65</v>
      </c>
      <c r="H9" s="4">
        <f t="shared" si="0"/>
        <v>1.65</v>
      </c>
      <c r="I9" s="10">
        <f t="shared" ca="1" si="1"/>
        <v>1.44045</v>
      </c>
      <c r="J9" s="10">
        <f t="shared" ca="1" si="2"/>
        <v>1.44045</v>
      </c>
      <c r="K9" t="e" vm="1">
        <v>#VALUE!</v>
      </c>
      <c r="L9" s="9" cm="1">
        <f t="array" aca="1" ref="L9" ca="1">_FV(K9,"Price")</f>
        <v>0.873</v>
      </c>
      <c r="M9" s="20"/>
    </row>
    <row r="10" spans="1:14">
      <c r="A10" s="1">
        <v>7</v>
      </c>
      <c r="B10" s="28" t="s">
        <v>25</v>
      </c>
      <c r="C10" s="28" t="s">
        <v>26</v>
      </c>
      <c r="D10" s="28" t="s">
        <v>27</v>
      </c>
      <c r="E10" t="s">
        <v>13</v>
      </c>
      <c r="F10" s="3">
        <v>2</v>
      </c>
      <c r="G10" s="4">
        <v>1.61</v>
      </c>
      <c r="H10" s="4">
        <f t="shared" si="0"/>
        <v>3.22</v>
      </c>
      <c r="I10" s="10">
        <f t="shared" ca="1" si="1"/>
        <v>1.4055300000000002</v>
      </c>
      <c r="J10" s="10">
        <f t="shared" ca="1" si="2"/>
        <v>2.8110600000000003</v>
      </c>
      <c r="K10" t="e" vm="1">
        <v>#VALUE!</v>
      </c>
      <c r="L10" s="9" cm="1">
        <f t="array" aca="1" ref="L10" ca="1">_FV(K10,"Price")</f>
        <v>0.873</v>
      </c>
      <c r="M10" s="20"/>
      <c r="N10" s="20" t="s">
        <v>98</v>
      </c>
    </row>
    <row r="11" spans="1:14">
      <c r="A11" s="1">
        <v>8</v>
      </c>
      <c r="B11" s="2" t="s">
        <v>28</v>
      </c>
      <c r="C11" s="2" t="s">
        <v>29</v>
      </c>
      <c r="D11" s="2" t="s">
        <v>30</v>
      </c>
      <c r="E11" t="s">
        <v>13</v>
      </c>
      <c r="F11" s="3">
        <v>2</v>
      </c>
      <c r="G11" s="4">
        <v>1.76</v>
      </c>
      <c r="H11" s="4">
        <f t="shared" si="0"/>
        <v>3.52</v>
      </c>
      <c r="I11" s="10">
        <f t="shared" ca="1" si="1"/>
        <v>1.5364800000000001</v>
      </c>
      <c r="J11" s="10">
        <f t="shared" ca="1" si="2"/>
        <v>3.0729600000000001</v>
      </c>
      <c r="K11" t="e" vm="1">
        <v>#VALUE!</v>
      </c>
      <c r="L11" s="9" cm="1">
        <f t="array" aca="1" ref="L11" ca="1">_FV(K11,"Price")</f>
        <v>0.873</v>
      </c>
      <c r="M11" s="20"/>
    </row>
    <row r="12" spans="1:14">
      <c r="A12" s="1">
        <v>9</v>
      </c>
      <c r="B12" s="14" t="s">
        <v>31</v>
      </c>
      <c r="C12" s="14" t="s">
        <v>32</v>
      </c>
      <c r="D12" s="14" t="s">
        <v>33</v>
      </c>
      <c r="E12" s="27" t="s">
        <v>13</v>
      </c>
      <c r="F12" s="15">
        <v>0</v>
      </c>
      <c r="G12" s="16">
        <v>40.11</v>
      </c>
      <c r="H12" s="16">
        <f t="shared" si="0"/>
        <v>0</v>
      </c>
      <c r="I12" s="17">
        <f t="shared" ca="1" si="1"/>
        <v>35.016030000000001</v>
      </c>
      <c r="J12" s="17">
        <f t="shared" ca="1" si="2"/>
        <v>0</v>
      </c>
      <c r="K12" t="e" vm="1">
        <v>#VALUE!</v>
      </c>
      <c r="L12" s="9" cm="1">
        <f t="array" aca="1" ref="L12" ca="1">_FV(K12,"Price")</f>
        <v>0.873</v>
      </c>
      <c r="M12" s="20"/>
      <c r="N12" s="20" t="s">
        <v>99</v>
      </c>
    </row>
    <row r="13" spans="1:14">
      <c r="A13" s="1">
        <v>10</v>
      </c>
      <c r="B13" s="14" t="s">
        <v>34</v>
      </c>
      <c r="C13" s="14" t="s">
        <v>35</v>
      </c>
      <c r="D13" s="14" t="s">
        <v>36</v>
      </c>
      <c r="E13" s="27" t="s">
        <v>13</v>
      </c>
      <c r="F13" s="15">
        <v>0</v>
      </c>
      <c r="G13" s="16">
        <v>1.79</v>
      </c>
      <c r="H13" s="16">
        <f t="shared" si="0"/>
        <v>0</v>
      </c>
      <c r="I13" s="17">
        <f t="shared" ca="1" si="1"/>
        <v>1.56267</v>
      </c>
      <c r="J13" s="17">
        <f t="shared" ca="1" si="2"/>
        <v>0</v>
      </c>
      <c r="K13" t="e" vm="1">
        <v>#VALUE!</v>
      </c>
      <c r="L13" s="9" cm="1">
        <f t="array" aca="1" ref="L13" ca="1">_FV(K13,"Price")</f>
        <v>0.873</v>
      </c>
      <c r="M13" s="20"/>
      <c r="N13" s="20" t="s">
        <v>99</v>
      </c>
    </row>
    <row r="14" spans="1:14">
      <c r="A14" s="1">
        <v>11</v>
      </c>
      <c r="B14" s="28" t="s">
        <v>37</v>
      </c>
      <c r="C14" s="28" t="s">
        <v>38</v>
      </c>
      <c r="D14" s="28" t="s">
        <v>39</v>
      </c>
      <c r="E14" t="s">
        <v>13</v>
      </c>
      <c r="F14" s="3">
        <v>1</v>
      </c>
      <c r="G14" s="4">
        <v>3.98</v>
      </c>
      <c r="H14" s="4">
        <f t="shared" si="0"/>
        <v>3.98</v>
      </c>
      <c r="I14" s="10">
        <f t="shared" ca="1" si="1"/>
        <v>3.4745400000000002</v>
      </c>
      <c r="J14" s="10">
        <f t="shared" ca="1" si="2"/>
        <v>3.4745400000000002</v>
      </c>
      <c r="K14" t="e" vm="1">
        <v>#VALUE!</v>
      </c>
      <c r="L14" s="9" cm="1">
        <f t="array" aca="1" ref="L14" ca="1">_FV(K14,"Price")</f>
        <v>0.873</v>
      </c>
      <c r="M14" s="20"/>
      <c r="N14" s="20" t="s">
        <v>98</v>
      </c>
    </row>
    <row r="15" spans="1:14">
      <c r="A15" s="1">
        <v>12</v>
      </c>
      <c r="B15" s="2" t="s">
        <v>40</v>
      </c>
      <c r="C15" s="2" t="s">
        <v>41</v>
      </c>
      <c r="D15" s="2" t="s">
        <v>42</v>
      </c>
      <c r="E15" t="s">
        <v>13</v>
      </c>
      <c r="F15" s="3">
        <v>1</v>
      </c>
      <c r="G15" s="4">
        <v>2.71</v>
      </c>
      <c r="H15" s="4">
        <f t="shared" si="0"/>
        <v>2.71</v>
      </c>
      <c r="I15" s="10">
        <f t="shared" ca="1" si="1"/>
        <v>2.3658299999999999</v>
      </c>
      <c r="J15" s="10">
        <f t="shared" ca="1" si="2"/>
        <v>2.3658299999999999</v>
      </c>
      <c r="K15" t="e" vm="1">
        <v>#VALUE!</v>
      </c>
      <c r="L15" s="9" cm="1">
        <f t="array" aca="1" ref="L15" ca="1">_FV(K15,"Price")</f>
        <v>0.873</v>
      </c>
      <c r="M15" s="20"/>
    </row>
    <row r="16" spans="1:14">
      <c r="A16" s="1">
        <v>13</v>
      </c>
      <c r="B16" s="2" t="s">
        <v>43</v>
      </c>
      <c r="C16" s="2" t="s">
        <v>44</v>
      </c>
      <c r="D16" s="2" t="s">
        <v>45</v>
      </c>
      <c r="E16" t="s">
        <v>13</v>
      </c>
      <c r="F16" s="3">
        <v>1</v>
      </c>
      <c r="G16" s="4">
        <v>1.91</v>
      </c>
      <c r="H16" s="4">
        <f t="shared" si="0"/>
        <v>1.91</v>
      </c>
      <c r="I16" s="10">
        <f t="shared" ca="1" si="1"/>
        <v>1.66743</v>
      </c>
      <c r="J16" s="10">
        <f t="shared" ca="1" si="2"/>
        <v>1.66743</v>
      </c>
      <c r="K16" t="e" vm="1">
        <v>#VALUE!</v>
      </c>
      <c r="L16" s="9" cm="1">
        <f t="array" aca="1" ref="L16" ca="1">_FV(K16,"Price")</f>
        <v>0.873</v>
      </c>
      <c r="M16" s="20"/>
    </row>
    <row r="17" spans="1:14">
      <c r="A17" s="1">
        <v>14</v>
      </c>
      <c r="B17" s="2" t="s">
        <v>46</v>
      </c>
      <c r="C17" s="2" t="s">
        <v>47</v>
      </c>
      <c r="D17" s="2" t="s">
        <v>48</v>
      </c>
      <c r="E17" t="s">
        <v>13</v>
      </c>
      <c r="F17" s="3">
        <v>2</v>
      </c>
      <c r="G17" s="4">
        <v>1.72</v>
      </c>
      <c r="H17" s="4">
        <f t="shared" si="0"/>
        <v>3.44</v>
      </c>
      <c r="I17" s="10">
        <f t="shared" ca="1" si="1"/>
        <v>1.50156</v>
      </c>
      <c r="J17" s="10">
        <f t="shared" ca="1" si="2"/>
        <v>3.00312</v>
      </c>
      <c r="K17" t="e" vm="1">
        <v>#VALUE!</v>
      </c>
      <c r="L17" s="9" cm="1">
        <f t="array" aca="1" ref="L17" ca="1">_FV(K17,"Price")</f>
        <v>0.873</v>
      </c>
      <c r="M17" s="20"/>
    </row>
    <row r="18" spans="1:14">
      <c r="A18" s="1">
        <v>15</v>
      </c>
      <c r="B18" s="2" t="s">
        <v>49</v>
      </c>
      <c r="C18" s="2" t="s">
        <v>50</v>
      </c>
      <c r="D18" s="2" t="s">
        <v>51</v>
      </c>
      <c r="E18" t="s">
        <v>13</v>
      </c>
      <c r="F18" s="3">
        <v>1</v>
      </c>
      <c r="G18" s="4">
        <v>4.05</v>
      </c>
      <c r="H18" s="4">
        <f t="shared" si="0"/>
        <v>4.05</v>
      </c>
      <c r="I18" s="10">
        <f t="shared" ca="1" si="1"/>
        <v>3.53565</v>
      </c>
      <c r="J18" s="10">
        <f t="shared" ca="1" si="2"/>
        <v>3.53565</v>
      </c>
      <c r="K18" t="e" vm="1">
        <v>#VALUE!</v>
      </c>
      <c r="L18" s="9" cm="1">
        <f t="array" aca="1" ref="L18" ca="1">_FV(K18,"Price")</f>
        <v>0.873</v>
      </c>
      <c r="M18" s="20"/>
      <c r="N18" s="20" t="s">
        <v>98</v>
      </c>
    </row>
    <row r="19" spans="1:14" ht="35.25">
      <c r="A19" s="1">
        <v>16</v>
      </c>
      <c r="B19" s="2" t="s">
        <v>52</v>
      </c>
      <c r="C19" s="2" t="s">
        <v>53</v>
      </c>
      <c r="D19" s="2" t="s">
        <v>54</v>
      </c>
      <c r="E19" t="s">
        <v>13</v>
      </c>
      <c r="F19" s="3">
        <v>1</v>
      </c>
      <c r="G19" s="4">
        <v>10.38</v>
      </c>
      <c r="H19" s="4">
        <f t="shared" si="0"/>
        <v>10.38</v>
      </c>
      <c r="I19" s="10">
        <f t="shared" ca="1" si="1"/>
        <v>9.0617400000000004</v>
      </c>
      <c r="J19" s="10">
        <f t="shared" ca="1" si="2"/>
        <v>9.0617400000000004</v>
      </c>
      <c r="K19" t="e" vm="1">
        <v>#VALUE!</v>
      </c>
      <c r="L19" s="9" cm="1">
        <f t="array" aca="1" ref="L19" ca="1">_FV(K19,"Price")</f>
        <v>0.873</v>
      </c>
      <c r="M19" s="20" t="s">
        <v>100</v>
      </c>
      <c r="N19" s="20" t="s">
        <v>101</v>
      </c>
    </row>
    <row r="20" spans="1:14">
      <c r="A20" s="1">
        <v>17</v>
      </c>
      <c r="B20" s="2" t="s">
        <v>55</v>
      </c>
      <c r="C20" s="2" t="s">
        <v>56</v>
      </c>
      <c r="D20" s="2" t="s">
        <v>57</v>
      </c>
      <c r="E20" t="s">
        <v>13</v>
      </c>
      <c r="F20" s="3">
        <v>2</v>
      </c>
      <c r="G20" s="4">
        <v>3.51</v>
      </c>
      <c r="H20" s="4">
        <f t="shared" si="0"/>
        <v>7.02</v>
      </c>
      <c r="I20" s="10">
        <f t="shared" ca="1" si="1"/>
        <v>3.0642299999999998</v>
      </c>
      <c r="J20" s="10">
        <f t="shared" ca="1" si="2"/>
        <v>6.1284599999999996</v>
      </c>
      <c r="K20" t="e" vm="1">
        <v>#VALUE!</v>
      </c>
      <c r="L20" s="9" cm="1">
        <f t="array" aca="1" ref="L20" ca="1">_FV(K20,"Price")</f>
        <v>0.873</v>
      </c>
      <c r="M20" s="20"/>
    </row>
    <row r="21" spans="1:14">
      <c r="A21" s="1">
        <v>18</v>
      </c>
      <c r="B21" s="2" t="s">
        <v>58</v>
      </c>
      <c r="C21" s="2" t="s">
        <v>59</v>
      </c>
      <c r="D21" s="2" t="s">
        <v>60</v>
      </c>
      <c r="E21" t="s">
        <v>13</v>
      </c>
      <c r="F21" s="3">
        <v>2</v>
      </c>
      <c r="G21" s="4">
        <v>2.2599999999999998</v>
      </c>
      <c r="H21" s="4">
        <f t="shared" si="0"/>
        <v>4.5199999999999996</v>
      </c>
      <c r="I21" s="10">
        <f t="shared" ca="1" si="1"/>
        <v>1.9729799999999997</v>
      </c>
      <c r="J21" s="10">
        <f t="shared" ca="1" si="2"/>
        <v>3.9459599999999995</v>
      </c>
      <c r="K21" t="e" vm="1">
        <v>#VALUE!</v>
      </c>
      <c r="L21" s="9" cm="1">
        <f t="array" aca="1" ref="L21" ca="1">_FV(K21,"Price")</f>
        <v>0.873</v>
      </c>
      <c r="M21" s="20"/>
    </row>
    <row r="22" spans="1:14">
      <c r="A22" s="1">
        <v>19</v>
      </c>
      <c r="B22" s="2" t="s">
        <v>61</v>
      </c>
      <c r="C22" s="2" t="s">
        <v>62</v>
      </c>
      <c r="D22" s="2" t="s">
        <v>63</v>
      </c>
      <c r="E22" t="s">
        <v>13</v>
      </c>
      <c r="F22" s="3">
        <v>4</v>
      </c>
      <c r="G22" s="4">
        <v>1.58</v>
      </c>
      <c r="H22" s="4">
        <f t="shared" si="0"/>
        <v>6.32</v>
      </c>
      <c r="I22" s="10">
        <f t="shared" ca="1" si="1"/>
        <v>1.37934</v>
      </c>
      <c r="J22" s="10">
        <f t="shared" ca="1" si="2"/>
        <v>5.51736</v>
      </c>
      <c r="K22" t="e" vm="1">
        <v>#VALUE!</v>
      </c>
      <c r="L22" s="9" cm="1">
        <f t="array" aca="1" ref="L22" ca="1">_FV(K22,"Price")</f>
        <v>0.873</v>
      </c>
      <c r="M22" s="20"/>
    </row>
    <row r="23" spans="1:14" ht="70.5">
      <c r="A23" s="1">
        <v>20</v>
      </c>
      <c r="B23" s="2" t="s">
        <v>64</v>
      </c>
      <c r="C23" s="2" t="s">
        <v>65</v>
      </c>
      <c r="D23" s="2" t="s">
        <v>66</v>
      </c>
      <c r="E23" t="s">
        <v>13</v>
      </c>
      <c r="F23" s="3">
        <v>1</v>
      </c>
      <c r="G23" s="4">
        <v>4.0999999999999996</v>
      </c>
      <c r="H23" s="4">
        <f t="shared" si="0"/>
        <v>4.0999999999999996</v>
      </c>
      <c r="I23" s="10">
        <f t="shared" ca="1" si="1"/>
        <v>3.5792999999999995</v>
      </c>
      <c r="J23" s="10">
        <f t="shared" ca="1" si="2"/>
        <v>3.5792999999999995</v>
      </c>
      <c r="K23" t="e" vm="1">
        <v>#VALUE!</v>
      </c>
      <c r="L23" s="9" cm="1">
        <f t="array" aca="1" ref="L23" ca="1">_FV(K23,"Price")</f>
        <v>0.873</v>
      </c>
      <c r="M23" s="20" t="s">
        <v>102</v>
      </c>
      <c r="N23" s="20" t="s">
        <v>101</v>
      </c>
    </row>
    <row r="24" spans="1:14">
      <c r="A24" s="1">
        <v>21</v>
      </c>
      <c r="B24" s="2" t="s">
        <v>67</v>
      </c>
      <c r="C24" s="2" t="s">
        <v>68</v>
      </c>
      <c r="D24" s="2" t="s">
        <v>69</v>
      </c>
      <c r="E24" t="s">
        <v>13</v>
      </c>
      <c r="F24" s="3">
        <v>1</v>
      </c>
      <c r="G24" s="4">
        <v>2.25</v>
      </c>
      <c r="H24" s="4">
        <f t="shared" si="0"/>
        <v>2.25</v>
      </c>
      <c r="I24" s="10">
        <f t="shared" ca="1" si="1"/>
        <v>1.9642500000000001</v>
      </c>
      <c r="J24" s="10">
        <f t="shared" ca="1" si="2"/>
        <v>1.9642500000000001</v>
      </c>
      <c r="K24" t="e" vm="1">
        <v>#VALUE!</v>
      </c>
      <c r="L24" s="9" cm="1">
        <f t="array" aca="1" ref="L24" ca="1">_FV(K24,"Price")</f>
        <v>0.873</v>
      </c>
      <c r="M24" s="20"/>
    </row>
    <row r="25" spans="1:14" ht="58.5">
      <c r="A25" s="1">
        <v>22</v>
      </c>
      <c r="B25" s="2" t="s">
        <v>70</v>
      </c>
      <c r="C25" s="2" t="s">
        <v>71</v>
      </c>
      <c r="D25" s="2" t="s">
        <v>72</v>
      </c>
      <c r="E25" t="s">
        <v>13</v>
      </c>
      <c r="F25" s="3">
        <v>1</v>
      </c>
      <c r="G25" s="4">
        <v>29.9</v>
      </c>
      <c r="H25" s="4">
        <f t="shared" si="0"/>
        <v>29.9</v>
      </c>
      <c r="I25" s="10">
        <f t="shared" ca="1" si="1"/>
        <v>26.102699999999999</v>
      </c>
      <c r="J25" s="10">
        <f t="shared" ca="1" si="2"/>
        <v>26.102699999999999</v>
      </c>
      <c r="K25" t="e" vm="1">
        <v>#VALUE!</v>
      </c>
      <c r="L25" s="9" cm="1">
        <f t="array" aca="1" ref="L25" ca="1">_FV(K25,"Price")</f>
        <v>0.873</v>
      </c>
      <c r="M25" s="20" t="s">
        <v>103</v>
      </c>
      <c r="N25" s="20" t="s">
        <v>101</v>
      </c>
    </row>
    <row r="26" spans="1:14">
      <c r="A26" s="1">
        <v>23</v>
      </c>
      <c r="B26" s="2" t="s">
        <v>73</v>
      </c>
      <c r="C26" s="2" t="s">
        <v>74</v>
      </c>
      <c r="D26" s="2" t="s">
        <v>75</v>
      </c>
      <c r="E26" t="s">
        <v>13</v>
      </c>
      <c r="F26" s="3">
        <v>1</v>
      </c>
      <c r="G26" s="4">
        <v>37.67</v>
      </c>
      <c r="H26" s="4">
        <f t="shared" si="0"/>
        <v>37.67</v>
      </c>
      <c r="I26" s="10">
        <f t="shared" ca="1" si="1"/>
        <v>32.885910000000003</v>
      </c>
      <c r="J26" s="10">
        <f t="shared" ca="1" si="2"/>
        <v>32.885910000000003</v>
      </c>
      <c r="K26" t="e" vm="1">
        <v>#VALUE!</v>
      </c>
      <c r="L26" s="9" cm="1">
        <f t="array" aca="1" ref="L26" ca="1">_FV(K26,"Price")</f>
        <v>0.873</v>
      </c>
      <c r="M26" s="20"/>
    </row>
    <row r="27" spans="1:14">
      <c r="A27" s="1">
        <v>24</v>
      </c>
      <c r="B27" s="2" t="s">
        <v>76</v>
      </c>
      <c r="C27" s="2" t="s">
        <v>77</v>
      </c>
      <c r="D27" s="2" t="s">
        <v>78</v>
      </c>
      <c r="E27" t="s">
        <v>13</v>
      </c>
      <c r="F27" s="3">
        <v>1</v>
      </c>
      <c r="G27" s="4">
        <v>17.850000000000001</v>
      </c>
      <c r="H27" s="4">
        <f t="shared" si="0"/>
        <v>17.850000000000001</v>
      </c>
      <c r="I27" s="10">
        <f t="shared" ca="1" si="1"/>
        <v>15.583050000000002</v>
      </c>
      <c r="J27" s="10">
        <f t="shared" ca="1" si="2"/>
        <v>15.583050000000002</v>
      </c>
      <c r="K27" t="e" vm="1">
        <v>#VALUE!</v>
      </c>
      <c r="L27" s="9" cm="1">
        <f t="array" aca="1" ref="L27" ca="1">_FV(K27,"Price")</f>
        <v>0.873</v>
      </c>
      <c r="M27" s="20"/>
    </row>
    <row r="28" spans="1:14">
      <c r="A28" s="1">
        <v>25</v>
      </c>
      <c r="B28" s="2" t="s">
        <v>79</v>
      </c>
      <c r="C28" s="2" t="s">
        <v>80</v>
      </c>
      <c r="D28" s="2" t="s">
        <v>81</v>
      </c>
      <c r="E28" t="s">
        <v>13</v>
      </c>
      <c r="F28" s="3">
        <v>1</v>
      </c>
      <c r="G28" s="4">
        <v>3.88</v>
      </c>
      <c r="H28" s="4">
        <f t="shared" si="0"/>
        <v>3.88</v>
      </c>
      <c r="I28" s="10">
        <f t="shared" ca="1" si="1"/>
        <v>3.3872399999999998</v>
      </c>
      <c r="J28" s="10">
        <f t="shared" ca="1" si="2"/>
        <v>3.3872399999999998</v>
      </c>
      <c r="K28" t="e" vm="1">
        <v>#VALUE!</v>
      </c>
      <c r="L28" s="9" cm="1">
        <f t="array" aca="1" ref="L28" ca="1">_FV(K28,"Price")</f>
        <v>0.873</v>
      </c>
      <c r="M28" s="20"/>
    </row>
    <row r="29" spans="1:14">
      <c r="A29" s="1">
        <v>26</v>
      </c>
      <c r="B29" s="14" t="s">
        <v>82</v>
      </c>
      <c r="C29" s="14" t="s">
        <v>83</v>
      </c>
      <c r="D29" s="14" t="s">
        <v>84</v>
      </c>
      <c r="E29" s="27" t="s">
        <v>13</v>
      </c>
      <c r="F29" s="15">
        <v>0</v>
      </c>
      <c r="G29" s="16">
        <v>5.14</v>
      </c>
      <c r="H29" s="16">
        <f t="shared" si="0"/>
        <v>0</v>
      </c>
      <c r="I29" s="17">
        <f t="shared" ca="1" si="1"/>
        <v>4.4872199999999998</v>
      </c>
      <c r="J29" s="17">
        <f t="shared" ca="1" si="2"/>
        <v>0</v>
      </c>
      <c r="K29" t="e" vm="1">
        <v>#VALUE!</v>
      </c>
      <c r="L29" s="9" cm="1">
        <f t="array" aca="1" ref="L29" ca="1">_FV(K29,"Price")</f>
        <v>0.873</v>
      </c>
      <c r="M29" s="20"/>
      <c r="N29" s="20" t="s">
        <v>99</v>
      </c>
    </row>
    <row r="30" spans="1:14">
      <c r="A30" s="1">
        <v>27</v>
      </c>
      <c r="B30" s="2" t="s">
        <v>85</v>
      </c>
      <c r="C30" s="2" t="s">
        <v>86</v>
      </c>
      <c r="D30" s="2" t="s">
        <v>87</v>
      </c>
      <c r="E30" t="s">
        <v>13</v>
      </c>
      <c r="F30" s="3">
        <v>2</v>
      </c>
      <c r="G30" s="4">
        <v>2.5099999999999998</v>
      </c>
      <c r="H30" s="4">
        <f t="shared" si="0"/>
        <v>5.0199999999999996</v>
      </c>
      <c r="I30" s="10">
        <f t="shared" ca="1" si="1"/>
        <v>2.19123</v>
      </c>
      <c r="J30" s="10">
        <f t="shared" ca="1" si="2"/>
        <v>4.38246</v>
      </c>
      <c r="K30" t="e" vm="1">
        <v>#VALUE!</v>
      </c>
      <c r="L30" s="9" cm="1">
        <f t="array" aca="1" ref="L30" ca="1">_FV(K30,"Price")</f>
        <v>0.873</v>
      </c>
      <c r="M30" s="20"/>
    </row>
    <row r="31" spans="1:14">
      <c r="A31" s="1">
        <v>28</v>
      </c>
      <c r="B31" s="2" t="s">
        <v>88</v>
      </c>
      <c r="C31" s="2" t="s">
        <v>89</v>
      </c>
      <c r="D31" s="2" t="s">
        <v>90</v>
      </c>
      <c r="E31" t="s">
        <v>13</v>
      </c>
      <c r="F31" s="3">
        <v>1</v>
      </c>
      <c r="G31" s="4">
        <v>3.98</v>
      </c>
      <c r="H31" s="4">
        <f t="shared" si="0"/>
        <v>3.98</v>
      </c>
      <c r="I31" s="10">
        <f t="shared" ca="1" si="1"/>
        <v>3.4745400000000002</v>
      </c>
      <c r="J31" s="10">
        <f t="shared" ca="1" si="2"/>
        <v>3.4745400000000002</v>
      </c>
      <c r="K31" t="e" vm="1">
        <v>#VALUE!</v>
      </c>
      <c r="L31" s="9" cm="1">
        <f t="array" aca="1" ref="L31" ca="1">_FV(K31,"Price")</f>
        <v>0.873</v>
      </c>
      <c r="M31" s="20"/>
    </row>
    <row r="32" spans="1:14">
      <c r="A32" s="1" t="s">
        <v>104</v>
      </c>
      <c r="B32" s="2" t="s">
        <v>91</v>
      </c>
      <c r="C32" s="2" t="s">
        <v>92</v>
      </c>
      <c r="D32" s="2" t="s">
        <v>93</v>
      </c>
      <c r="E32" t="s">
        <v>13</v>
      </c>
      <c r="F32" s="11">
        <v>1</v>
      </c>
      <c r="G32" s="12">
        <v>2.9</v>
      </c>
      <c r="H32" s="12">
        <f t="shared" si="0"/>
        <v>2.9</v>
      </c>
      <c r="I32" s="13">
        <f t="shared" ca="1" si="1"/>
        <v>2.5316999999999998</v>
      </c>
      <c r="J32" s="13">
        <f t="shared" ca="1" si="2"/>
        <v>2.5316999999999998</v>
      </c>
      <c r="K32" t="e" vm="1">
        <v>#VALUE!</v>
      </c>
      <c r="L32" s="9" cm="1">
        <f t="array" aca="1" ref="L32" ca="1">_FV(K32,"Price")</f>
        <v>0.873</v>
      </c>
      <c r="M32" s="20"/>
    </row>
    <row r="33" spans="6:13">
      <c r="F33" s="26">
        <f>SUM(F4:F32)</f>
        <v>34</v>
      </c>
      <c r="G33" s="25">
        <f t="shared" ref="G33:H33" si="3">SUM(G4:G32)</f>
        <v>214.60999999999993</v>
      </c>
      <c r="H33" s="30">
        <f t="shared" si="3"/>
        <v>170.23000000000002</v>
      </c>
      <c r="I33" s="10">
        <f t="shared" ca="1" si="1"/>
        <v>187.35452999999993</v>
      </c>
      <c r="J33" s="10">
        <f t="shared" ca="1" si="2"/>
        <v>148.61079000000001</v>
      </c>
      <c r="K33" t="e" vm="1">
        <v>#VALUE!</v>
      </c>
      <c r="L33" s="9" cm="1">
        <f t="array" aca="1" ref="L33" ca="1">_FV(K33,"Price")</f>
        <v>0.873</v>
      </c>
      <c r="M33" s="20"/>
    </row>
    <row r="34" spans="6:13" ht="156" customHeight="1">
      <c r="H34" s="29" t="s">
        <v>105</v>
      </c>
    </row>
  </sheetData>
  <mergeCells count="3">
    <mergeCell ref="G2:H2"/>
    <mergeCell ref="I2:J2"/>
    <mergeCell ref="M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Jethro Rebollar</dc:creator>
  <cp:keywords/>
  <dc:description/>
  <cp:lastModifiedBy>Jethro Rebollar</cp:lastModifiedBy>
  <cp:revision/>
  <dcterms:created xsi:type="dcterms:W3CDTF">2025-09-16T09:54:04Z</dcterms:created>
  <dcterms:modified xsi:type="dcterms:W3CDTF">2025-09-22T22:24:50Z</dcterms:modified>
  <cp:category/>
  <cp:contentStatus/>
</cp:coreProperties>
</file>